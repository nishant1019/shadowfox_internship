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shboard" sheetId="1" state="visible" r:id="rId1"/>
    <sheet name="Analysis" sheetId="2" state="visible" r:id="rId2"/>
    <sheet name="Insights" sheetId="3" state="visible" r:id="rId3"/>
    <sheet name="Clean Data" sheetId="4" state="visible" r:id="rId4"/>
    <sheet name="Raw Data" sheetId="5" state="visible" r:id="rId5"/>
  </sheets>
  <definedNames>
    <definedName name="_xlnm._FilterDatabase" localSheetId="3" hidden="1">'Clean Data'!$A$1:$L$1195</definedName>
  </definedNames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DD-MMM-YYYY"/>
    <numFmt numFmtId="166" formatCode="&quot;₹&quot;#,##0"/>
    <numFmt numFmtId="167" formatCode="0.0%"/>
  </numFmts>
  <fonts count="11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color rgb="00000000"/>
      <sz val="10"/>
    </font>
    <font>
      <name val="Arial"/>
      <b val="1"/>
      <color rgb="001F3A5F"/>
      <sz val="14"/>
    </font>
    <font>
      <name val="Arial"/>
      <i val="1"/>
      <color rgb="00666666"/>
      <sz val="9"/>
    </font>
    <font>
      <name val="Arial"/>
      <b val="1"/>
      <color rgb="001B998B"/>
      <sz val="11"/>
    </font>
    <font>
      <name val="Arial"/>
      <b val="1"/>
      <color rgb="00000000"/>
      <sz val="10"/>
    </font>
    <font>
      <name val="Arial"/>
      <b val="1"/>
      <color rgb="00FFFFFF"/>
      <sz val="20"/>
    </font>
    <font>
      <name val="Arial"/>
      <b val="1"/>
      <color rgb="00555555"/>
      <sz val="8"/>
    </font>
    <font>
      <name val="Arial"/>
      <b val="1"/>
      <color rgb="001F3A5F"/>
      <sz val="16"/>
    </font>
    <font>
      <name val="Arial"/>
      <b val="1"/>
      <color rgb="001B998B"/>
      <sz val="12"/>
    </font>
  </fonts>
  <fills count="4">
    <fill>
      <patternFill/>
    </fill>
    <fill>
      <patternFill patternType="gray125"/>
    </fill>
    <fill>
      <patternFill patternType="solid">
        <fgColor rgb="001F3A5F"/>
        <bgColor rgb="001F3A5F"/>
      </patternFill>
    </fill>
    <fill>
      <patternFill patternType="solid">
        <fgColor rgb="00E8F3F1"/>
        <bgColor rgb="00E8F3F1"/>
      </patternFill>
    </fill>
  </fills>
  <borders count="2">
    <border>
      <left/>
      <right/>
      <top/>
      <bottom/>
      <diagonal/>
    </border>
    <border>
      <left style="thin">
        <color rgb="00D0D5DA"/>
      </left>
      <right style="thin">
        <color rgb="00D0D5DA"/>
      </right>
      <top style="thin">
        <color rgb="00D0D5DA"/>
      </top>
      <bottom style="thin">
        <color rgb="00D0D5DA"/>
      </bottom>
    </border>
  </borders>
  <cellStyleXfs count="1">
    <xf numFmtId="0" fontId="0" fillId="0" borderId="0"/>
  </cellStyleXfs>
  <cellXfs count="29">
    <xf numFmtId="0" fontId="0" fillId="0" borderId="0" pivotButton="0" quotePrefix="0" xfId="0"/>
    <xf numFmtId="0" fontId="7" fillId="2" borderId="0" applyAlignment="1" pivotButton="0" quotePrefix="0" xfId="0">
      <alignment vertical="center" indent="1"/>
    </xf>
    <xf numFmtId="0" fontId="4" fillId="0" borderId="0" pivotButton="0" quotePrefix="0" xfId="0"/>
    <xf numFmtId="0" fontId="8" fillId="3" borderId="0" applyAlignment="1" pivotButton="0" quotePrefix="0" xfId="0">
      <alignment horizontal="center" vertical="bottom"/>
    </xf>
    <xf numFmtId="0" fontId="0" fillId="3" borderId="0" pivotButton="0" quotePrefix="0" xfId="0"/>
    <xf numFmtId="166" fontId="9" fillId="3" borderId="0" applyAlignment="1" pivotButton="0" quotePrefix="0" xfId="0">
      <alignment horizontal="center" vertical="center"/>
    </xf>
    <xf numFmtId="167" fontId="9" fillId="3" borderId="0" applyAlignment="1" pivotButton="0" quotePrefix="0" xfId="0">
      <alignment horizontal="center" vertical="center"/>
    </xf>
    <xf numFmtId="3" fontId="9" fillId="3" borderId="0" applyAlignment="1" pivotButton="0" quotePrefix="0" xfId="0">
      <alignment horizontal="center" vertical="center"/>
    </xf>
    <xf numFmtId="49" fontId="9" fillId="3" borderId="0" applyAlignment="1" pivotButton="0" quotePrefix="0" xfId="0">
      <alignment horizontal="center" vertical="center"/>
    </xf>
    <xf numFmtId="0" fontId="10" fillId="0" borderId="0" pivotButton="0" quotePrefix="0" xfId="0"/>
    <xf numFmtId="0" fontId="2" fillId="0" borderId="0" applyAlignment="1" pivotButton="0" quotePrefix="0" xfId="0">
      <alignment vertical="top" wrapText="1"/>
    </xf>
    <xf numFmtId="0" fontId="3" fillId="0" borderId="0" pivotButton="0" quotePrefix="0" xfId="0"/>
    <xf numFmtId="0" fontId="5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pivotButton="0" quotePrefix="0" xfId="0"/>
    <xf numFmtId="3" fontId="2" fillId="0" borderId="1" applyAlignment="1" pivotButton="0" quotePrefix="0" xfId="0">
      <alignment horizontal="center"/>
    </xf>
    <xf numFmtId="3" fontId="2" fillId="0" borderId="1" applyAlignment="1" pivotButton="0" quotePrefix="0" xfId="0">
      <alignment horizontal="right"/>
    </xf>
    <xf numFmtId="166" fontId="2" fillId="0" borderId="1" applyAlignment="1" pivotButton="0" quotePrefix="0" xfId="0">
      <alignment horizontal="right"/>
    </xf>
    <xf numFmtId="167" fontId="2" fillId="0" borderId="1" applyAlignment="1" pivotButton="0" quotePrefix="0" xfId="0">
      <alignment horizontal="right"/>
    </xf>
    <xf numFmtId="0" fontId="6" fillId="3" borderId="1" pivotButton="0" quotePrefix="0" xfId="0"/>
    <xf numFmtId="3" fontId="6" fillId="3" borderId="1" applyAlignment="1" pivotButton="0" quotePrefix="0" xfId="0">
      <alignment horizontal="right"/>
    </xf>
    <xf numFmtId="166" fontId="6" fillId="3" borderId="1" applyAlignment="1" pivotButton="0" quotePrefix="0" xfId="0">
      <alignment horizontal="right"/>
    </xf>
    <xf numFmtId="167" fontId="6" fillId="3" borderId="1" applyAlignment="1" pivotButton="0" quotePrefix="0" xfId="0">
      <alignment horizontal="right"/>
    </xf>
    <xf numFmtId="0" fontId="2" fillId="0" borderId="1" applyAlignment="1" pivotButton="0" quotePrefix="0" xfId="0">
      <alignment horizontal="left" vertical="top" wrapText="1"/>
    </xf>
    <xf numFmtId="0" fontId="2" fillId="0" borderId="1" applyAlignment="1" pivotButton="0" quotePrefix="0" xfId="0">
      <alignment horizontal="center" vertical="top" wrapText="1"/>
    </xf>
    <xf numFmtId="0" fontId="2" fillId="0" borderId="0" pivotButton="0" quotePrefix="0" xfId="0"/>
    <xf numFmtId="165" fontId="2" fillId="0" borderId="0" pivotButton="0" quotePrefix="0" xfId="0"/>
    <xf numFmtId="166" fontId="2" fillId="0" borderId="0" pivotButton="0" quotePrefix="0" xfId="0"/>
    <xf numFmtId="9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Monthly sales (₹)</a:t>
            </a:r>
          </a:p>
        </rich>
      </tx>
    </title>
    <plotArea>
      <lineChart>
        <grouping val="standard"/>
        <ser>
          <idx val="0"/>
          <order val="0"/>
          <tx>
            <strRef>
              <f>'Analysis'!E4</f>
            </strRef>
          </tx>
          <spPr>
            <a:ln w="28000">
              <a:solidFill>
                <a:srgbClr val="1B998B"/>
              </a:solidFill>
              <a:prstDash val="solid"/>
            </a:ln>
          </spPr>
          <marker>
            <symbol val="circle"/>
            <size val="6"/>
            <spPr>
              <a:solidFill>
                <a:srgbClr val="1B998B"/>
              </a:solidFill>
              <a:ln>
                <a:prstDash val="solid"/>
              </a:ln>
            </spPr>
          </marker>
          <cat>
            <numRef>
              <f>'Analysis'!$A$5:$A$16</f>
            </numRef>
          </cat>
          <val>
            <numRef>
              <f>'Analysis'!$E$5:$E$16</f>
            </numRef>
          </val>
          <smooth val="0"/>
        </ser>
        <axId val="10"/>
        <axId val="100"/>
      </lineChart>
      <catAx>
        <axId val="10"/>
        <scaling>
          <orientation val="minMax"/>
        </scaling>
        <delete val="0"/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delete val="0"/>
        <axPos val="l"/>
        <majorGridlines/>
        <numFmt formatCode="#,##0" sourceLinked="0"/>
        <majorTickMark val="none"/>
        <minorTickMark val="none"/>
        <crossAx val="10"/>
      </valAx>
    </plotArea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Sales by category (₹)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'Analysis'!D21</f>
            </strRef>
          </tx>
          <spPr>
            <a:solidFill>
              <a:srgbClr val="1F3A5F"/>
            </a:solidFill>
            <a:ln>
              <a:prstDash val="solid"/>
            </a:ln>
          </spPr>
          <cat>
            <numRef>
              <f>'Analysis'!$A$22:$A$25</f>
            </numRef>
          </cat>
          <val>
            <numRef>
              <f>'Analysis'!$D$22:$D$25</f>
            </numRef>
          </val>
        </ser>
        <gapWidth val="60"/>
        <axId val="10"/>
        <axId val="100"/>
      </barChart>
      <catAx>
        <axId val="10"/>
        <scaling>
          <orientation val="minMax"/>
        </scaling>
        <delete val="0"/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delete val="0"/>
        <axPos val="l"/>
        <majorGridlines/>
        <numFmt formatCode="#,##0" sourceLinked="0"/>
        <majorTickMark val="none"/>
        <minorTickMark val="none"/>
        <crossAx val="10"/>
      </valAx>
    </plotArea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Sales by product (₹)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'Analysis'!D30</f>
            </strRef>
          </tx>
          <spPr>
            <a:solidFill>
              <a:srgbClr val="1B998B"/>
            </a:solidFill>
            <a:ln>
              <a:prstDash val="solid"/>
            </a:ln>
          </spPr>
          <cat>
            <numRef>
              <f>'Analysis'!$A$31:$A$42</f>
            </numRef>
          </cat>
          <val>
            <numRef>
              <f>'Analysis'!$D$31:$D$42</f>
            </numRef>
          </val>
        </ser>
        <gapWidth val="40"/>
        <axId val="10"/>
        <axId val="100"/>
      </barChart>
      <catAx>
        <axId val="10"/>
        <scaling>
          <orientation val="maxMin"/>
        </scaling>
        <delete val="0"/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delete val="0"/>
        <axPos val="l"/>
        <majorGridlines/>
        <numFmt formatCode="#,##0" sourceLinked="0"/>
        <majorTickMark val="none"/>
        <minorTickMark val="none"/>
        <crossAx val="10"/>
        <crosses val="max"/>
      </valAx>
    </plotArea>
    <plotVisOnly val="1"/>
    <dispBlanksAs val="gap"/>
  </chart>
</chartSpace>
</file>

<file path=xl/charts/chart4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Sales by region (₹)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'Analysis'!C46</f>
            </strRef>
          </tx>
          <spPr>
            <a:solidFill>
              <a:srgbClr val="E07A5F"/>
            </a:solidFill>
            <a:ln>
              <a:prstDash val="solid"/>
            </a:ln>
          </spPr>
          <cat>
            <numRef>
              <f>'Analysis'!$A$47:$A$50</f>
            </numRef>
          </cat>
          <val>
            <numRef>
              <f>'Analysis'!$C$47:$C$50</f>
            </numRef>
          </val>
        </ser>
        <gapWidth val="60"/>
        <axId val="10"/>
        <axId val="100"/>
      </barChart>
      <catAx>
        <axId val="10"/>
        <scaling>
          <orientation val="minMax"/>
        </scaling>
        <delete val="0"/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delete val="0"/>
        <axPos val="l"/>
        <majorGridlines/>
        <numFmt formatCode="#,##0" sourceLinked="0"/>
        <majorTickMark val="none"/>
        <minorTickMark val="none"/>
        <crossAx val="10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Relationship Type="http://schemas.openxmlformats.org/officeDocument/2006/relationships/chart" Target="/xl/charts/chart3.xml" Id="rId3" /><Relationship Type="http://schemas.openxmlformats.org/officeDocument/2006/relationships/chart" Target="/xl/charts/chart4.xml" Id="rId4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</col>
      <colOff>0</colOff>
      <row>6</row>
      <rowOff>0</rowOff>
    </from>
    <ext cx="4752000" cy="2736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7</col>
      <colOff>0</colOff>
      <row>6</row>
      <rowOff>0</rowOff>
    </from>
    <ext cx="4752000" cy="2736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1</col>
      <colOff>0</colOff>
      <row>23</row>
      <rowOff>0</rowOff>
    </from>
    <ext cx="4752000" cy="3384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  <oneCellAnchor>
    <from>
      <col>7</col>
      <colOff>0</colOff>
      <row>23</row>
      <rowOff>0</rowOff>
    </from>
    <ext cx="4752000" cy="3384000"/>
    <graphicFrame>
      <nvGraphicFramePr>
        <cNvPr id="4" name="Chart 4"/>
        <cNvGraphicFramePr/>
      </nvGraphicFramePr>
      <xfrm/>
      <a:graphic>
        <a:graphicData uri="http://schemas.openxmlformats.org/drawingml/2006/chart">
          <c:chart r:id="rId4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001F3A5F"/>
    <outlinePr summaryBelow="1" summaryRight="1"/>
    <pageSetUpPr/>
  </sheetPr>
  <dimension ref="B1:M51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2" customWidth="1" min="14" max="14"/>
  </cols>
  <sheetData>
    <row r="1" ht="34" customHeight="1">
      <c r="B1" s="1" t="inlineStr">
        <is>
          <t>Retail Sales Dashboard — 2025</t>
        </is>
      </c>
    </row>
    <row r="2">
      <c r="B2" s="2" t="inlineStr">
        <is>
          <t>Beginner-level analysis: 12 months, 4 regions, 4 categories, 12 products (synthetic dataset). All numbers update from the Clean Data sheet.</t>
        </is>
      </c>
    </row>
    <row r="4" ht="20" customHeight="1">
      <c r="B4" s="3" t="inlineStr">
        <is>
          <t>TOTAL SALES</t>
        </is>
      </c>
      <c r="C4" s="4" t="n"/>
      <c r="D4" s="3" t="inlineStr">
        <is>
          <t>TOTAL PROFIT</t>
        </is>
      </c>
      <c r="E4" s="4" t="n"/>
      <c r="F4" s="3" t="inlineStr">
        <is>
          <t>PROFIT MARGIN</t>
        </is>
      </c>
      <c r="G4" s="4" t="n"/>
      <c r="H4" s="3" t="inlineStr">
        <is>
          <t>ORDERS</t>
        </is>
      </c>
      <c r="I4" s="4" t="n"/>
      <c r="J4" s="3" t="inlineStr">
        <is>
          <t>AVG ORDER VALUE</t>
        </is>
      </c>
      <c r="K4" s="4" t="n"/>
      <c r="L4" s="3" t="inlineStr">
        <is>
          <t>PEAK MONTH</t>
        </is>
      </c>
      <c r="M4" s="4" t="n"/>
    </row>
    <row r="5" ht="34" customHeight="1">
      <c r="B5" s="5">
        <f>Analysis!E17</f>
        <v/>
      </c>
      <c r="C5" s="4" t="n"/>
      <c r="D5" s="5">
        <f>Analysis!F17</f>
        <v/>
      </c>
      <c r="E5" s="4" t="n"/>
      <c r="F5" s="6">
        <f>Analysis!G17</f>
        <v/>
      </c>
      <c r="G5" s="4" t="n"/>
      <c r="H5" s="7">
        <f>Analysis!C17</f>
        <v/>
      </c>
      <c r="I5" s="4" t="n"/>
      <c r="J5" s="5">
        <f>IFERROR(Analysis!E17/Analysis!C17,0)</f>
        <v/>
      </c>
      <c r="K5" s="4" t="n"/>
      <c r="L5" s="8">
        <f>INDEX(Analysis!A5:A16,MATCH(MAX(Analysis!E5:E16),Analysis!E5:E16,0))</f>
        <v/>
      </c>
      <c r="M5" s="4" t="n"/>
    </row>
    <row r="44">
      <c r="B44" s="9" t="inlineStr">
        <is>
          <t>Key findings</t>
        </is>
      </c>
    </row>
    <row r="45" ht="30" customHeight="1">
      <c r="B45" s="10" t="inlineStr">
        <is>
          <t>•  Sales peak in Dec and are lowest in Aug; November and December together deliver 23% of annual sales, so the business is strongly seasonal.</t>
        </is>
      </c>
    </row>
    <row r="46" ht="30" customHeight="1">
      <c r="B46" s="10" t="inlineStr">
        <is>
          <t>•  Standing Desk is the top product by sales (₹11.7 lakh); the top 3 products contribute 38% of total sales. Desk Organizer is the weakest (₹2.8 lakh).</t>
        </is>
      </c>
    </row>
    <row r="47" ht="30" customHeight="1">
      <c r="B47" s="10" t="inlineStr">
        <is>
          <t>•  Furniture is the largest category by sales (33% share), while Accessories earns the best margin (39.0%) and Furniture the lowest (27.0%).</t>
        </is>
      </c>
    </row>
    <row r="48" ht="30" customHeight="1">
      <c r="B48" s="10" t="inlineStr">
        <is>
          <t>•  South is the strongest region (31% of sales) and East the weakest (15%).</t>
        </is>
      </c>
    </row>
    <row r="49" ht="30" customHeight="1">
      <c r="B49" s="10" t="inlineStr">
        <is>
          <t>•  Discounted orders earn a 28.4% margin versus 37.4% for full-price orders, so discounting has a real cost to profitability.</t>
        </is>
      </c>
    </row>
    <row r="51">
      <c r="B51" s="2" t="inlineStr">
        <is>
          <t>See the Insights sheet for cleaning steps, metric choices and recommendations.</t>
        </is>
      </c>
    </row>
  </sheetData>
  <mergeCells count="21">
    <mergeCell ref="F4:G4"/>
    <mergeCell ref="B2:M2"/>
    <mergeCell ref="B48:M48"/>
    <mergeCell ref="J5:K5"/>
    <mergeCell ref="H4:I4"/>
    <mergeCell ref="B1:M1"/>
    <mergeCell ref="B44:M44"/>
    <mergeCell ref="F5:G5"/>
    <mergeCell ref="L5:M5"/>
    <mergeCell ref="B49:M49"/>
    <mergeCell ref="J4:K4"/>
    <mergeCell ref="L4:M4"/>
    <mergeCell ref="B51:M51"/>
    <mergeCell ref="B45:M45"/>
    <mergeCell ref="D4:E4"/>
    <mergeCell ref="B47:M47"/>
    <mergeCell ref="B5:C5"/>
    <mergeCell ref="D5:E5"/>
    <mergeCell ref="B46:M46"/>
    <mergeCell ref="H5:I5"/>
    <mergeCell ref="B4:C4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tabColor rgb="001B998B"/>
    <outlinePr summaryBelow="1" summaryRight="1"/>
    <pageSetUpPr/>
  </sheetPr>
  <dimension ref="A1:H5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0" customWidth="1" min="1" max="1"/>
    <col width="18" customWidth="1" min="2" max="2"/>
    <col width="12" customWidth="1" min="3" max="3"/>
    <col width="15" customWidth="1" min="4" max="4"/>
    <col width="15" customWidth="1" min="5" max="5"/>
    <col width="12" customWidth="1" min="6" max="6"/>
    <col width="16" customWidth="1" min="7" max="7"/>
    <col width="18" customWidth="1" min="8" max="8"/>
  </cols>
  <sheetData>
    <row r="1">
      <c r="A1" s="11" t="inlineStr">
        <is>
          <t>Sales Analysis (all figures are formulas on the Clean Data sheet)</t>
        </is>
      </c>
    </row>
    <row r="2">
      <c r="A2" s="2" t="inlineStr">
        <is>
          <t>Currency: Indian Rupees (₹). Profit = Sales − Quantity × Unit Cost. Margin = Profit ÷ Sales.</t>
        </is>
      </c>
    </row>
    <row r="3">
      <c r="A3" s="12" t="inlineStr">
        <is>
          <t>1. Monthly trend</t>
        </is>
      </c>
    </row>
    <row r="4" ht="30" customHeight="1">
      <c r="A4" s="13" t="inlineStr">
        <is>
          <t>Month</t>
        </is>
      </c>
      <c r="B4" s="13" t="inlineStr">
        <is>
          <t>Month #</t>
        </is>
      </c>
      <c r="C4" s="13" t="inlineStr">
        <is>
          <t>Orders</t>
        </is>
      </c>
      <c r="D4" s="13" t="inlineStr">
        <is>
          <t>Units</t>
        </is>
      </c>
      <c r="E4" s="13" t="inlineStr">
        <is>
          <t>Sales</t>
        </is>
      </c>
      <c r="F4" s="13" t="inlineStr">
        <is>
          <t>Profit</t>
        </is>
      </c>
      <c r="G4" s="13" t="inlineStr">
        <is>
          <t>Margin</t>
        </is>
      </c>
      <c r="H4" s="13" t="inlineStr">
        <is>
          <t>MoM Sales Growth</t>
        </is>
      </c>
    </row>
    <row r="5">
      <c r="A5" s="14" t="inlineStr">
        <is>
          <t>Jan</t>
        </is>
      </c>
      <c r="B5" s="15" t="n">
        <v>1</v>
      </c>
      <c r="C5" s="16">
        <f>COUNTIFS('Clean Data'!$C$2:$C$1195,B5)</f>
        <v/>
      </c>
      <c r="D5" s="16">
        <f>SUMIFS('Clean Data'!$G$2:$G$1195,'Clean Data'!$C$2:$C$1195,B5)</f>
        <v/>
      </c>
      <c r="E5" s="17">
        <f>SUMIFS('Clean Data'!$K$2:$K$1195,'Clean Data'!$C$2:$C$1195,B5)</f>
        <v/>
      </c>
      <c r="F5" s="17">
        <f>SUMIFS('Clean Data'!$L$2:$L$1195,'Clean Data'!$C$2:$C$1195,B5)</f>
        <v/>
      </c>
      <c r="G5" s="18">
        <f>IFERROR(F5/E5,0)</f>
        <v/>
      </c>
      <c r="H5" s="18" t="inlineStr">
        <is>
          <t>-</t>
        </is>
      </c>
    </row>
    <row r="6">
      <c r="A6" s="14" t="inlineStr">
        <is>
          <t>Feb</t>
        </is>
      </c>
      <c r="B6" s="15" t="n">
        <v>2</v>
      </c>
      <c r="C6" s="16">
        <f>COUNTIFS('Clean Data'!$C$2:$C$1195,B6)</f>
        <v/>
      </c>
      <c r="D6" s="16">
        <f>SUMIFS('Clean Data'!$G$2:$G$1195,'Clean Data'!$C$2:$C$1195,B6)</f>
        <v/>
      </c>
      <c r="E6" s="17">
        <f>SUMIFS('Clean Data'!$K$2:$K$1195,'Clean Data'!$C$2:$C$1195,B6)</f>
        <v/>
      </c>
      <c r="F6" s="17">
        <f>SUMIFS('Clean Data'!$L$2:$L$1195,'Clean Data'!$C$2:$C$1195,B6)</f>
        <v/>
      </c>
      <c r="G6" s="18">
        <f>IFERROR(F6/E6,0)</f>
        <v/>
      </c>
      <c r="H6" s="18">
        <f>IFERROR(E6/E5-1,0)</f>
        <v/>
      </c>
    </row>
    <row r="7">
      <c r="A7" s="14" t="inlineStr">
        <is>
          <t>Mar</t>
        </is>
      </c>
      <c r="B7" s="15" t="n">
        <v>3</v>
      </c>
      <c r="C7" s="16">
        <f>COUNTIFS('Clean Data'!$C$2:$C$1195,B7)</f>
        <v/>
      </c>
      <c r="D7" s="16">
        <f>SUMIFS('Clean Data'!$G$2:$G$1195,'Clean Data'!$C$2:$C$1195,B7)</f>
        <v/>
      </c>
      <c r="E7" s="17">
        <f>SUMIFS('Clean Data'!$K$2:$K$1195,'Clean Data'!$C$2:$C$1195,B7)</f>
        <v/>
      </c>
      <c r="F7" s="17">
        <f>SUMIFS('Clean Data'!$L$2:$L$1195,'Clean Data'!$C$2:$C$1195,B7)</f>
        <v/>
      </c>
      <c r="G7" s="18">
        <f>IFERROR(F7/E7,0)</f>
        <v/>
      </c>
      <c r="H7" s="18">
        <f>IFERROR(E7/E6-1,0)</f>
        <v/>
      </c>
    </row>
    <row r="8">
      <c r="A8" s="14" t="inlineStr">
        <is>
          <t>Apr</t>
        </is>
      </c>
      <c r="B8" s="15" t="n">
        <v>4</v>
      </c>
      <c r="C8" s="16">
        <f>COUNTIFS('Clean Data'!$C$2:$C$1195,B8)</f>
        <v/>
      </c>
      <c r="D8" s="16">
        <f>SUMIFS('Clean Data'!$G$2:$G$1195,'Clean Data'!$C$2:$C$1195,B8)</f>
        <v/>
      </c>
      <c r="E8" s="17">
        <f>SUMIFS('Clean Data'!$K$2:$K$1195,'Clean Data'!$C$2:$C$1195,B8)</f>
        <v/>
      </c>
      <c r="F8" s="17">
        <f>SUMIFS('Clean Data'!$L$2:$L$1195,'Clean Data'!$C$2:$C$1195,B8)</f>
        <v/>
      </c>
      <c r="G8" s="18">
        <f>IFERROR(F8/E8,0)</f>
        <v/>
      </c>
      <c r="H8" s="18">
        <f>IFERROR(E8/E7-1,0)</f>
        <v/>
      </c>
    </row>
    <row r="9">
      <c r="A9" s="14" t="inlineStr">
        <is>
          <t>May</t>
        </is>
      </c>
      <c r="B9" s="15" t="n">
        <v>5</v>
      </c>
      <c r="C9" s="16">
        <f>COUNTIFS('Clean Data'!$C$2:$C$1195,B9)</f>
        <v/>
      </c>
      <c r="D9" s="16">
        <f>SUMIFS('Clean Data'!$G$2:$G$1195,'Clean Data'!$C$2:$C$1195,B9)</f>
        <v/>
      </c>
      <c r="E9" s="17">
        <f>SUMIFS('Clean Data'!$K$2:$K$1195,'Clean Data'!$C$2:$C$1195,B9)</f>
        <v/>
      </c>
      <c r="F9" s="17">
        <f>SUMIFS('Clean Data'!$L$2:$L$1195,'Clean Data'!$C$2:$C$1195,B9)</f>
        <v/>
      </c>
      <c r="G9" s="18">
        <f>IFERROR(F9/E9,0)</f>
        <v/>
      </c>
      <c r="H9" s="18">
        <f>IFERROR(E9/E8-1,0)</f>
        <v/>
      </c>
    </row>
    <row r="10">
      <c r="A10" s="14" t="inlineStr">
        <is>
          <t>Jun</t>
        </is>
      </c>
      <c r="B10" s="15" t="n">
        <v>6</v>
      </c>
      <c r="C10" s="16">
        <f>COUNTIFS('Clean Data'!$C$2:$C$1195,B10)</f>
        <v/>
      </c>
      <c r="D10" s="16">
        <f>SUMIFS('Clean Data'!$G$2:$G$1195,'Clean Data'!$C$2:$C$1195,B10)</f>
        <v/>
      </c>
      <c r="E10" s="17">
        <f>SUMIFS('Clean Data'!$K$2:$K$1195,'Clean Data'!$C$2:$C$1195,B10)</f>
        <v/>
      </c>
      <c r="F10" s="17">
        <f>SUMIFS('Clean Data'!$L$2:$L$1195,'Clean Data'!$C$2:$C$1195,B10)</f>
        <v/>
      </c>
      <c r="G10" s="18">
        <f>IFERROR(F10/E10,0)</f>
        <v/>
      </c>
      <c r="H10" s="18">
        <f>IFERROR(E10/E9-1,0)</f>
        <v/>
      </c>
    </row>
    <row r="11">
      <c r="A11" s="14" t="inlineStr">
        <is>
          <t>Jul</t>
        </is>
      </c>
      <c r="B11" s="15" t="n">
        <v>7</v>
      </c>
      <c r="C11" s="16">
        <f>COUNTIFS('Clean Data'!$C$2:$C$1195,B11)</f>
        <v/>
      </c>
      <c r="D11" s="16">
        <f>SUMIFS('Clean Data'!$G$2:$G$1195,'Clean Data'!$C$2:$C$1195,B11)</f>
        <v/>
      </c>
      <c r="E11" s="17">
        <f>SUMIFS('Clean Data'!$K$2:$K$1195,'Clean Data'!$C$2:$C$1195,B11)</f>
        <v/>
      </c>
      <c r="F11" s="17">
        <f>SUMIFS('Clean Data'!$L$2:$L$1195,'Clean Data'!$C$2:$C$1195,B11)</f>
        <v/>
      </c>
      <c r="G11" s="18">
        <f>IFERROR(F11/E11,0)</f>
        <v/>
      </c>
      <c r="H11" s="18">
        <f>IFERROR(E11/E10-1,0)</f>
        <v/>
      </c>
    </row>
    <row r="12">
      <c r="A12" s="14" t="inlineStr">
        <is>
          <t>Aug</t>
        </is>
      </c>
      <c r="B12" s="15" t="n">
        <v>8</v>
      </c>
      <c r="C12" s="16">
        <f>COUNTIFS('Clean Data'!$C$2:$C$1195,B12)</f>
        <v/>
      </c>
      <c r="D12" s="16">
        <f>SUMIFS('Clean Data'!$G$2:$G$1195,'Clean Data'!$C$2:$C$1195,B12)</f>
        <v/>
      </c>
      <c r="E12" s="17">
        <f>SUMIFS('Clean Data'!$K$2:$K$1195,'Clean Data'!$C$2:$C$1195,B12)</f>
        <v/>
      </c>
      <c r="F12" s="17">
        <f>SUMIFS('Clean Data'!$L$2:$L$1195,'Clean Data'!$C$2:$C$1195,B12)</f>
        <v/>
      </c>
      <c r="G12" s="18">
        <f>IFERROR(F12/E12,0)</f>
        <v/>
      </c>
      <c r="H12" s="18">
        <f>IFERROR(E12/E11-1,0)</f>
        <v/>
      </c>
    </row>
    <row r="13">
      <c r="A13" s="14" t="inlineStr">
        <is>
          <t>Sep</t>
        </is>
      </c>
      <c r="B13" s="15" t="n">
        <v>9</v>
      </c>
      <c r="C13" s="16">
        <f>COUNTIFS('Clean Data'!$C$2:$C$1195,B13)</f>
        <v/>
      </c>
      <c r="D13" s="16">
        <f>SUMIFS('Clean Data'!$G$2:$G$1195,'Clean Data'!$C$2:$C$1195,B13)</f>
        <v/>
      </c>
      <c r="E13" s="17">
        <f>SUMIFS('Clean Data'!$K$2:$K$1195,'Clean Data'!$C$2:$C$1195,B13)</f>
        <v/>
      </c>
      <c r="F13" s="17">
        <f>SUMIFS('Clean Data'!$L$2:$L$1195,'Clean Data'!$C$2:$C$1195,B13)</f>
        <v/>
      </c>
      <c r="G13" s="18">
        <f>IFERROR(F13/E13,0)</f>
        <v/>
      </c>
      <c r="H13" s="18">
        <f>IFERROR(E13/E12-1,0)</f>
        <v/>
      </c>
    </row>
    <row r="14">
      <c r="A14" s="14" t="inlineStr">
        <is>
          <t>Oct</t>
        </is>
      </c>
      <c r="B14" s="15" t="n">
        <v>10</v>
      </c>
      <c r="C14" s="16">
        <f>COUNTIFS('Clean Data'!$C$2:$C$1195,B14)</f>
        <v/>
      </c>
      <c r="D14" s="16">
        <f>SUMIFS('Clean Data'!$G$2:$G$1195,'Clean Data'!$C$2:$C$1195,B14)</f>
        <v/>
      </c>
      <c r="E14" s="17">
        <f>SUMIFS('Clean Data'!$K$2:$K$1195,'Clean Data'!$C$2:$C$1195,B14)</f>
        <v/>
      </c>
      <c r="F14" s="17">
        <f>SUMIFS('Clean Data'!$L$2:$L$1195,'Clean Data'!$C$2:$C$1195,B14)</f>
        <v/>
      </c>
      <c r="G14" s="18">
        <f>IFERROR(F14/E14,0)</f>
        <v/>
      </c>
      <c r="H14" s="18">
        <f>IFERROR(E14/E13-1,0)</f>
        <v/>
      </c>
    </row>
    <row r="15">
      <c r="A15" s="14" t="inlineStr">
        <is>
          <t>Nov</t>
        </is>
      </c>
      <c r="B15" s="15" t="n">
        <v>11</v>
      </c>
      <c r="C15" s="16">
        <f>COUNTIFS('Clean Data'!$C$2:$C$1195,B15)</f>
        <v/>
      </c>
      <c r="D15" s="16">
        <f>SUMIFS('Clean Data'!$G$2:$G$1195,'Clean Data'!$C$2:$C$1195,B15)</f>
        <v/>
      </c>
      <c r="E15" s="17">
        <f>SUMIFS('Clean Data'!$K$2:$K$1195,'Clean Data'!$C$2:$C$1195,B15)</f>
        <v/>
      </c>
      <c r="F15" s="17">
        <f>SUMIFS('Clean Data'!$L$2:$L$1195,'Clean Data'!$C$2:$C$1195,B15)</f>
        <v/>
      </c>
      <c r="G15" s="18">
        <f>IFERROR(F15/E15,0)</f>
        <v/>
      </c>
      <c r="H15" s="18">
        <f>IFERROR(E15/E14-1,0)</f>
        <v/>
      </c>
    </row>
    <row r="16">
      <c r="A16" s="14" t="inlineStr">
        <is>
          <t>Dec</t>
        </is>
      </c>
      <c r="B16" s="15" t="n">
        <v>12</v>
      </c>
      <c r="C16" s="16">
        <f>COUNTIFS('Clean Data'!$C$2:$C$1195,B16)</f>
        <v/>
      </c>
      <c r="D16" s="16">
        <f>SUMIFS('Clean Data'!$G$2:$G$1195,'Clean Data'!$C$2:$C$1195,B16)</f>
        <v/>
      </c>
      <c r="E16" s="17">
        <f>SUMIFS('Clean Data'!$K$2:$K$1195,'Clean Data'!$C$2:$C$1195,B16)</f>
        <v/>
      </c>
      <c r="F16" s="17">
        <f>SUMIFS('Clean Data'!$L$2:$L$1195,'Clean Data'!$C$2:$C$1195,B16)</f>
        <v/>
      </c>
      <c r="G16" s="18">
        <f>IFERROR(F16/E16,0)</f>
        <v/>
      </c>
      <c r="H16" s="18">
        <f>IFERROR(E16/E15-1,0)</f>
        <v/>
      </c>
    </row>
    <row r="17">
      <c r="A17" s="19" t="inlineStr">
        <is>
          <t>Total</t>
        </is>
      </c>
      <c r="B17" s="20" t="n"/>
      <c r="C17" s="20">
        <f>SUM(C5:C16)</f>
        <v/>
      </c>
      <c r="D17" s="20">
        <f>SUM(D5:D16)</f>
        <v/>
      </c>
      <c r="E17" s="21">
        <f>SUM(E5:E16)</f>
        <v/>
      </c>
      <c r="F17" s="21">
        <f>SUM(F5:F16)</f>
        <v/>
      </c>
      <c r="G17" s="22">
        <f>IFERROR(F17/E17,0)</f>
        <v/>
      </c>
      <c r="H17" s="22" t="n"/>
    </row>
    <row r="20">
      <c r="A20" s="12" t="inlineStr">
        <is>
          <t>2. Category performance</t>
        </is>
      </c>
    </row>
    <row r="21">
      <c r="A21" s="13" t="inlineStr">
        <is>
          <t>Category</t>
        </is>
      </c>
      <c r="B21" s="13" t="inlineStr">
        <is>
          <t>Orders</t>
        </is>
      </c>
      <c r="C21" s="13" t="inlineStr">
        <is>
          <t>Units</t>
        </is>
      </c>
      <c r="D21" s="13" t="inlineStr">
        <is>
          <t>Sales</t>
        </is>
      </c>
      <c r="E21" s="13" t="inlineStr">
        <is>
          <t>Profit</t>
        </is>
      </c>
      <c r="F21" s="13" t="inlineStr">
        <is>
          <t>Margin</t>
        </is>
      </c>
      <c r="G21" s="13" t="inlineStr">
        <is>
          <t>Share of Sales</t>
        </is>
      </c>
    </row>
    <row r="22">
      <c r="A22" s="14" t="inlineStr">
        <is>
          <t>Furniture</t>
        </is>
      </c>
      <c r="B22" s="16">
        <f>COUNTIFS('Clean Data'!$E$2:$E$1195,A22)</f>
        <v/>
      </c>
      <c r="C22" s="16">
        <f>SUMIFS('Clean Data'!$G$2:$G$1195,'Clean Data'!$E$2:$E$1195,A22)</f>
        <v/>
      </c>
      <c r="D22" s="17">
        <f>SUMIFS('Clean Data'!$K$2:$K$1195,'Clean Data'!$E$2:$E$1195,A22)</f>
        <v/>
      </c>
      <c r="E22" s="17">
        <f>SUMIFS('Clean Data'!$L$2:$L$1195,'Clean Data'!$E$2:$E$1195,A22)</f>
        <v/>
      </c>
      <c r="F22" s="18">
        <f>IFERROR(E22/D22,0)</f>
        <v/>
      </c>
      <c r="G22" s="18">
        <f>IFERROR(D22/$D$26,0)</f>
        <v/>
      </c>
    </row>
    <row r="23">
      <c r="A23" s="14" t="inlineStr">
        <is>
          <t>Technology</t>
        </is>
      </c>
      <c r="B23" s="16">
        <f>COUNTIFS('Clean Data'!$E$2:$E$1195,A23)</f>
        <v/>
      </c>
      <c r="C23" s="16">
        <f>SUMIFS('Clean Data'!$G$2:$G$1195,'Clean Data'!$E$2:$E$1195,A23)</f>
        <v/>
      </c>
      <c r="D23" s="17">
        <f>SUMIFS('Clean Data'!$K$2:$K$1195,'Clean Data'!$E$2:$E$1195,A23)</f>
        <v/>
      </c>
      <c r="E23" s="17">
        <f>SUMIFS('Clean Data'!$L$2:$L$1195,'Clean Data'!$E$2:$E$1195,A23)</f>
        <v/>
      </c>
      <c r="F23" s="18">
        <f>IFERROR(E23/D23,0)</f>
        <v/>
      </c>
      <c r="G23" s="18">
        <f>IFERROR(D23/$D$26,0)</f>
        <v/>
      </c>
    </row>
    <row r="24">
      <c r="A24" s="14" t="inlineStr">
        <is>
          <t>Accessories</t>
        </is>
      </c>
      <c r="B24" s="16">
        <f>COUNTIFS('Clean Data'!$E$2:$E$1195,A24)</f>
        <v/>
      </c>
      <c r="C24" s="16">
        <f>SUMIFS('Clean Data'!$G$2:$G$1195,'Clean Data'!$E$2:$E$1195,A24)</f>
        <v/>
      </c>
      <c r="D24" s="17">
        <f>SUMIFS('Clean Data'!$K$2:$K$1195,'Clean Data'!$E$2:$E$1195,A24)</f>
        <v/>
      </c>
      <c r="E24" s="17">
        <f>SUMIFS('Clean Data'!$L$2:$L$1195,'Clean Data'!$E$2:$E$1195,A24)</f>
        <v/>
      </c>
      <c r="F24" s="18">
        <f>IFERROR(E24/D24,0)</f>
        <v/>
      </c>
      <c r="G24" s="18">
        <f>IFERROR(D24/$D$26,0)</f>
        <v/>
      </c>
    </row>
    <row r="25">
      <c r="A25" s="14" t="inlineStr">
        <is>
          <t>Office Supplies</t>
        </is>
      </c>
      <c r="B25" s="16">
        <f>COUNTIFS('Clean Data'!$E$2:$E$1195,A25)</f>
        <v/>
      </c>
      <c r="C25" s="16">
        <f>SUMIFS('Clean Data'!$G$2:$G$1195,'Clean Data'!$E$2:$E$1195,A25)</f>
        <v/>
      </c>
      <c r="D25" s="17">
        <f>SUMIFS('Clean Data'!$K$2:$K$1195,'Clean Data'!$E$2:$E$1195,A25)</f>
        <v/>
      </c>
      <c r="E25" s="17">
        <f>SUMIFS('Clean Data'!$L$2:$L$1195,'Clean Data'!$E$2:$E$1195,A25)</f>
        <v/>
      </c>
      <c r="F25" s="18">
        <f>IFERROR(E25/D25,0)</f>
        <v/>
      </c>
      <c r="G25" s="18">
        <f>IFERROR(D25/$D$26,0)</f>
        <v/>
      </c>
    </row>
    <row r="26">
      <c r="A26" s="19" t="inlineStr">
        <is>
          <t>Total</t>
        </is>
      </c>
      <c r="B26" s="20">
        <f>SUM(B22:B25)</f>
        <v/>
      </c>
      <c r="C26" s="20">
        <f>SUM(C22:C25)</f>
        <v/>
      </c>
      <c r="D26" s="21">
        <f>SUM(D22:D25)</f>
        <v/>
      </c>
      <c r="E26" s="21">
        <f>SUM(E22:E25)</f>
        <v/>
      </c>
      <c r="F26" s="22">
        <f>IFERROR(E26/D26,0)</f>
        <v/>
      </c>
      <c r="G26" s="22">
        <f>SUM(G22:G25)</f>
        <v/>
      </c>
    </row>
    <row r="29">
      <c r="A29" s="12" t="inlineStr">
        <is>
          <t>3. Product performance (sorted by sales)</t>
        </is>
      </c>
    </row>
    <row r="30">
      <c r="A30" s="13" t="inlineStr">
        <is>
          <t>Product</t>
        </is>
      </c>
      <c r="B30" s="13" t="inlineStr">
        <is>
          <t>Category</t>
        </is>
      </c>
      <c r="C30" s="13" t="inlineStr">
        <is>
          <t>Units</t>
        </is>
      </c>
      <c r="D30" s="13" t="inlineStr">
        <is>
          <t>Sales</t>
        </is>
      </c>
      <c r="E30" s="13" t="inlineStr">
        <is>
          <t>Profit</t>
        </is>
      </c>
      <c r="F30" s="13" t="inlineStr">
        <is>
          <t>Margin</t>
        </is>
      </c>
      <c r="G30" s="13" t="inlineStr">
        <is>
          <t>Sales Rank</t>
        </is>
      </c>
    </row>
    <row r="31">
      <c r="A31" s="14" t="inlineStr">
        <is>
          <t>Standing Desk</t>
        </is>
      </c>
      <c r="B31" s="14" t="inlineStr">
        <is>
          <t>Furniture</t>
        </is>
      </c>
      <c r="C31" s="16">
        <f>SUMIFS('Clean Data'!$G$2:$G$1195,'Clean Data'!$F$2:$F$1195,A31)</f>
        <v/>
      </c>
      <c r="D31" s="17">
        <f>SUMIFS('Clean Data'!$K$2:$K$1195,'Clean Data'!$F$2:$F$1195,A31)</f>
        <v/>
      </c>
      <c r="E31" s="17">
        <f>SUMIFS('Clean Data'!$L$2:$L$1195,'Clean Data'!$F$2:$F$1195,A31)</f>
        <v/>
      </c>
      <c r="F31" s="18">
        <f>IFERROR(E31/D31,0)</f>
        <v/>
      </c>
      <c r="G31" s="16">
        <f>RANK(D31,$D$31:$D$42)</f>
        <v/>
      </c>
    </row>
    <row r="32">
      <c r="A32" s="14" t="inlineStr">
        <is>
          <t>Monitor 24"</t>
        </is>
      </c>
      <c r="B32" s="14" t="inlineStr">
        <is>
          <t>Technology</t>
        </is>
      </c>
      <c r="C32" s="16">
        <f>SUMIFS('Clean Data'!$G$2:$G$1195,'Clean Data'!$F$2:$F$1195,A32)</f>
        <v/>
      </c>
      <c r="D32" s="17">
        <f>SUMIFS('Clean Data'!$K$2:$K$1195,'Clean Data'!$F$2:$F$1195,A32)</f>
        <v/>
      </c>
      <c r="E32" s="17">
        <f>SUMIFS('Clean Data'!$L$2:$L$1195,'Clean Data'!$F$2:$F$1195,A32)</f>
        <v/>
      </c>
      <c r="F32" s="18">
        <f>IFERROR(E32/D32,0)</f>
        <v/>
      </c>
      <c r="G32" s="16">
        <f>RANK(D32,$D$31:$D$42)</f>
        <v/>
      </c>
    </row>
    <row r="33">
      <c r="A33" s="14" t="inlineStr">
        <is>
          <t>Printer Paper Box</t>
        </is>
      </c>
      <c r="B33" s="14" t="inlineStr">
        <is>
          <t>Office Supplies</t>
        </is>
      </c>
      <c r="C33" s="16">
        <f>SUMIFS('Clean Data'!$G$2:$G$1195,'Clean Data'!$F$2:$F$1195,A33)</f>
        <v/>
      </c>
      <c r="D33" s="17">
        <f>SUMIFS('Clean Data'!$K$2:$K$1195,'Clean Data'!$F$2:$F$1195,A33)</f>
        <v/>
      </c>
      <c r="E33" s="17">
        <f>SUMIFS('Clean Data'!$L$2:$L$1195,'Clean Data'!$F$2:$F$1195,A33)</f>
        <v/>
      </c>
      <c r="F33" s="18">
        <f>IFERROR(E33/D33,0)</f>
        <v/>
      </c>
      <c r="G33" s="16">
        <f>RANK(D33,$D$31:$D$42)</f>
        <v/>
      </c>
    </row>
    <row r="34">
      <c r="A34" s="14" t="inlineStr">
        <is>
          <t>Office Chair</t>
        </is>
      </c>
      <c r="B34" s="14" t="inlineStr">
        <is>
          <t>Furniture</t>
        </is>
      </c>
      <c r="C34" s="16">
        <f>SUMIFS('Clean Data'!$G$2:$G$1195,'Clean Data'!$F$2:$F$1195,A34)</f>
        <v/>
      </c>
      <c r="D34" s="17">
        <f>SUMIFS('Clean Data'!$K$2:$K$1195,'Clean Data'!$F$2:$F$1195,A34)</f>
        <v/>
      </c>
      <c r="E34" s="17">
        <f>SUMIFS('Clean Data'!$L$2:$L$1195,'Clean Data'!$F$2:$F$1195,A34)</f>
        <v/>
      </c>
      <c r="F34" s="18">
        <f>IFERROR(E34/D34,0)</f>
        <v/>
      </c>
      <c r="G34" s="16">
        <f>RANK(D34,$D$31:$D$42)</f>
        <v/>
      </c>
    </row>
    <row r="35">
      <c r="A35" s="14" t="inlineStr">
        <is>
          <t>Headphones</t>
        </is>
      </c>
      <c r="B35" s="14" t="inlineStr">
        <is>
          <t>Accessories</t>
        </is>
      </c>
      <c r="C35" s="16">
        <f>SUMIFS('Clean Data'!$G$2:$G$1195,'Clean Data'!$F$2:$F$1195,A35)</f>
        <v/>
      </c>
      <c r="D35" s="17">
        <f>SUMIFS('Clean Data'!$K$2:$K$1195,'Clean Data'!$F$2:$F$1195,A35)</f>
        <v/>
      </c>
      <c r="E35" s="17">
        <f>SUMIFS('Clean Data'!$L$2:$L$1195,'Clean Data'!$F$2:$F$1195,A35)</f>
        <v/>
      </c>
      <c r="F35" s="18">
        <f>IFERROR(E35/D35,0)</f>
        <v/>
      </c>
      <c r="G35" s="16">
        <f>RANK(D35,$D$31:$D$42)</f>
        <v/>
      </c>
    </row>
    <row r="36">
      <c r="A36" s="14" t="inlineStr">
        <is>
          <t>Bookshelf</t>
        </is>
      </c>
      <c r="B36" s="14" t="inlineStr">
        <is>
          <t>Furniture</t>
        </is>
      </c>
      <c r="C36" s="16">
        <f>SUMIFS('Clean Data'!$G$2:$G$1195,'Clean Data'!$F$2:$F$1195,A36)</f>
        <v/>
      </c>
      <c r="D36" s="17">
        <f>SUMIFS('Clean Data'!$K$2:$K$1195,'Clean Data'!$F$2:$F$1195,A36)</f>
        <v/>
      </c>
      <c r="E36" s="17">
        <f>SUMIFS('Clean Data'!$L$2:$L$1195,'Clean Data'!$F$2:$F$1195,A36)</f>
        <v/>
      </c>
      <c r="F36" s="18">
        <f>IFERROR(E36/D36,0)</f>
        <v/>
      </c>
      <c r="G36" s="16">
        <f>RANK(D36,$D$31:$D$42)</f>
        <v/>
      </c>
    </row>
    <row r="37">
      <c r="A37" s="14" t="inlineStr">
        <is>
          <t>Mechanical Keyboard</t>
        </is>
      </c>
      <c r="B37" s="14" t="inlineStr">
        <is>
          <t>Technology</t>
        </is>
      </c>
      <c r="C37" s="16">
        <f>SUMIFS('Clean Data'!$G$2:$G$1195,'Clean Data'!$F$2:$F$1195,A37)</f>
        <v/>
      </c>
      <c r="D37" s="17">
        <f>SUMIFS('Clean Data'!$K$2:$K$1195,'Clean Data'!$F$2:$F$1195,A37)</f>
        <v/>
      </c>
      <c r="E37" s="17">
        <f>SUMIFS('Clean Data'!$L$2:$L$1195,'Clean Data'!$F$2:$F$1195,A37)</f>
        <v/>
      </c>
      <c r="F37" s="18">
        <f>IFERROR(E37/D37,0)</f>
        <v/>
      </c>
      <c r="G37" s="16">
        <f>RANK(D37,$D$31:$D$42)</f>
        <v/>
      </c>
    </row>
    <row r="38">
      <c r="A38" s="14" t="inlineStr">
        <is>
          <t>Webcam</t>
        </is>
      </c>
      <c r="B38" s="14" t="inlineStr">
        <is>
          <t>Accessories</t>
        </is>
      </c>
      <c r="C38" s="16">
        <f>SUMIFS('Clean Data'!$G$2:$G$1195,'Clean Data'!$F$2:$F$1195,A38)</f>
        <v/>
      </c>
      <c r="D38" s="17">
        <f>SUMIFS('Clean Data'!$K$2:$K$1195,'Clean Data'!$F$2:$F$1195,A38)</f>
        <v/>
      </c>
      <c r="E38" s="17">
        <f>SUMIFS('Clean Data'!$L$2:$L$1195,'Clean Data'!$F$2:$F$1195,A38)</f>
        <v/>
      </c>
      <c r="F38" s="18">
        <f>IFERROR(E38/D38,0)</f>
        <v/>
      </c>
      <c r="G38" s="16">
        <f>RANK(D38,$D$31:$D$42)</f>
        <v/>
      </c>
    </row>
    <row r="39">
      <c r="A39" s="14" t="inlineStr">
        <is>
          <t>USB-C Hub</t>
        </is>
      </c>
      <c r="B39" s="14" t="inlineStr">
        <is>
          <t>Accessories</t>
        </is>
      </c>
      <c r="C39" s="16">
        <f>SUMIFS('Clean Data'!$G$2:$G$1195,'Clean Data'!$F$2:$F$1195,A39)</f>
        <v/>
      </c>
      <c r="D39" s="17">
        <f>SUMIFS('Clean Data'!$K$2:$K$1195,'Clean Data'!$F$2:$F$1195,A39)</f>
        <v/>
      </c>
      <c r="E39" s="17">
        <f>SUMIFS('Clean Data'!$L$2:$L$1195,'Clean Data'!$F$2:$F$1195,A39)</f>
        <v/>
      </c>
      <c r="F39" s="18">
        <f>IFERROR(E39/D39,0)</f>
        <v/>
      </c>
      <c r="G39" s="16">
        <f>RANK(D39,$D$31:$D$42)</f>
        <v/>
      </c>
    </row>
    <row r="40">
      <c r="A40" s="14" t="inlineStr">
        <is>
          <t>Wireless Mouse</t>
        </is>
      </c>
      <c r="B40" s="14" t="inlineStr">
        <is>
          <t>Technology</t>
        </is>
      </c>
      <c r="C40" s="16">
        <f>SUMIFS('Clean Data'!$G$2:$G$1195,'Clean Data'!$F$2:$F$1195,A40)</f>
        <v/>
      </c>
      <c r="D40" s="17">
        <f>SUMIFS('Clean Data'!$K$2:$K$1195,'Clean Data'!$F$2:$F$1195,A40)</f>
        <v/>
      </c>
      <c r="E40" s="17">
        <f>SUMIFS('Clean Data'!$L$2:$L$1195,'Clean Data'!$F$2:$F$1195,A40)</f>
        <v/>
      </c>
      <c r="F40" s="18">
        <f>IFERROR(E40/D40,0)</f>
        <v/>
      </c>
      <c r="G40" s="16">
        <f>RANK(D40,$D$31:$D$42)</f>
        <v/>
      </c>
    </row>
    <row r="41">
      <c r="A41" s="14" t="inlineStr">
        <is>
          <t>Notebook Set</t>
        </is>
      </c>
      <c r="B41" s="14" t="inlineStr">
        <is>
          <t>Office Supplies</t>
        </is>
      </c>
      <c r="C41" s="16">
        <f>SUMIFS('Clean Data'!$G$2:$G$1195,'Clean Data'!$F$2:$F$1195,A41)</f>
        <v/>
      </c>
      <c r="D41" s="17">
        <f>SUMIFS('Clean Data'!$K$2:$K$1195,'Clean Data'!$F$2:$F$1195,A41)</f>
        <v/>
      </c>
      <c r="E41" s="17">
        <f>SUMIFS('Clean Data'!$L$2:$L$1195,'Clean Data'!$F$2:$F$1195,A41)</f>
        <v/>
      </c>
      <c r="F41" s="18">
        <f>IFERROR(E41/D41,0)</f>
        <v/>
      </c>
      <c r="G41" s="16">
        <f>RANK(D41,$D$31:$D$42)</f>
        <v/>
      </c>
    </row>
    <row r="42">
      <c r="A42" s="14" t="inlineStr">
        <is>
          <t>Desk Organizer</t>
        </is>
      </c>
      <c r="B42" s="14" t="inlineStr">
        <is>
          <t>Office Supplies</t>
        </is>
      </c>
      <c r="C42" s="16">
        <f>SUMIFS('Clean Data'!$G$2:$G$1195,'Clean Data'!$F$2:$F$1195,A42)</f>
        <v/>
      </c>
      <c r="D42" s="17">
        <f>SUMIFS('Clean Data'!$K$2:$K$1195,'Clean Data'!$F$2:$F$1195,A42)</f>
        <v/>
      </c>
      <c r="E42" s="17">
        <f>SUMIFS('Clean Data'!$L$2:$L$1195,'Clean Data'!$F$2:$F$1195,A42)</f>
        <v/>
      </c>
      <c r="F42" s="18">
        <f>IFERROR(E42/D42,0)</f>
        <v/>
      </c>
      <c r="G42" s="16">
        <f>RANK(D42,$D$31:$D$42)</f>
        <v/>
      </c>
    </row>
    <row r="45">
      <c r="A45" s="12" t="inlineStr">
        <is>
          <t>4. Regional performance</t>
        </is>
      </c>
    </row>
    <row r="46">
      <c r="A46" s="13" t="inlineStr">
        <is>
          <t>Region</t>
        </is>
      </c>
      <c r="B46" s="13" t="inlineStr">
        <is>
          <t>Orders</t>
        </is>
      </c>
      <c r="C46" s="13" t="inlineStr">
        <is>
          <t>Sales</t>
        </is>
      </c>
      <c r="D46" s="13" t="inlineStr">
        <is>
          <t>Profit</t>
        </is>
      </c>
      <c r="E46" s="13" t="inlineStr">
        <is>
          <t>Margin</t>
        </is>
      </c>
      <c r="F46" s="13" t="inlineStr">
        <is>
          <t>Share of Sales</t>
        </is>
      </c>
    </row>
    <row r="47">
      <c r="A47" s="14" t="inlineStr">
        <is>
          <t>South</t>
        </is>
      </c>
      <c r="B47" s="16">
        <f>COUNTIFS('Clean Data'!$D$2:$D$1195,A47)</f>
        <v/>
      </c>
      <c r="C47" s="17">
        <f>SUMIFS('Clean Data'!$K$2:$K$1195,'Clean Data'!$D$2:$D$1195,A47)</f>
        <v/>
      </c>
      <c r="D47" s="17">
        <f>SUMIFS('Clean Data'!$L$2:$L$1195,'Clean Data'!$D$2:$D$1195,A47)</f>
        <v/>
      </c>
      <c r="E47" s="18">
        <f>IFERROR(D47/C47,0)</f>
        <v/>
      </c>
      <c r="F47" s="18">
        <f>IFERROR(C47/$C$51,0)</f>
        <v/>
      </c>
    </row>
    <row r="48">
      <c r="A48" s="14" t="inlineStr">
        <is>
          <t>West</t>
        </is>
      </c>
      <c r="B48" s="16">
        <f>COUNTIFS('Clean Data'!$D$2:$D$1195,A48)</f>
        <v/>
      </c>
      <c r="C48" s="17">
        <f>SUMIFS('Clean Data'!$K$2:$K$1195,'Clean Data'!$D$2:$D$1195,A48)</f>
        <v/>
      </c>
      <c r="D48" s="17">
        <f>SUMIFS('Clean Data'!$L$2:$L$1195,'Clean Data'!$D$2:$D$1195,A48)</f>
        <v/>
      </c>
      <c r="E48" s="18">
        <f>IFERROR(D48/C48,0)</f>
        <v/>
      </c>
      <c r="F48" s="18">
        <f>IFERROR(C48/$C$51,0)</f>
        <v/>
      </c>
    </row>
    <row r="49">
      <c r="A49" s="14" t="inlineStr">
        <is>
          <t>North</t>
        </is>
      </c>
      <c r="B49" s="16">
        <f>COUNTIFS('Clean Data'!$D$2:$D$1195,A49)</f>
        <v/>
      </c>
      <c r="C49" s="17">
        <f>SUMIFS('Clean Data'!$K$2:$K$1195,'Clean Data'!$D$2:$D$1195,A49)</f>
        <v/>
      </c>
      <c r="D49" s="17">
        <f>SUMIFS('Clean Data'!$L$2:$L$1195,'Clean Data'!$D$2:$D$1195,A49)</f>
        <v/>
      </c>
      <c r="E49" s="18">
        <f>IFERROR(D49/C49,0)</f>
        <v/>
      </c>
      <c r="F49" s="18">
        <f>IFERROR(C49/$C$51,0)</f>
        <v/>
      </c>
    </row>
    <row r="50">
      <c r="A50" s="14" t="inlineStr">
        <is>
          <t>East</t>
        </is>
      </c>
      <c r="B50" s="16">
        <f>COUNTIFS('Clean Data'!$D$2:$D$1195,A50)</f>
        <v/>
      </c>
      <c r="C50" s="17">
        <f>SUMIFS('Clean Data'!$K$2:$K$1195,'Clean Data'!$D$2:$D$1195,A50)</f>
        <v/>
      </c>
      <c r="D50" s="17">
        <f>SUMIFS('Clean Data'!$L$2:$L$1195,'Clean Data'!$D$2:$D$1195,A50)</f>
        <v/>
      </c>
      <c r="E50" s="18">
        <f>IFERROR(D50/C50,0)</f>
        <v/>
      </c>
      <c r="F50" s="18">
        <f>IFERROR(C50/$C$51,0)</f>
        <v/>
      </c>
    </row>
    <row r="51">
      <c r="A51" s="19" t="inlineStr">
        <is>
          <t>Total</t>
        </is>
      </c>
      <c r="B51" s="20">
        <f>SUM(B47:B50)</f>
        <v/>
      </c>
      <c r="C51" s="21">
        <f>SUM(C47:C50)</f>
        <v/>
      </c>
      <c r="D51" s="21">
        <f>SUM(D47:D50)</f>
        <v/>
      </c>
      <c r="E51" s="22">
        <f>IFERROR(D51/C51,0)</f>
        <v/>
      </c>
      <c r="F51" s="22">
        <f>SUM(F47:F50)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1:D38"/>
  <sheetViews>
    <sheetView workbookViewId="0">
      <selection activeCell="A1" sqref="A1"/>
    </sheetView>
  </sheetViews>
  <sheetFormatPr baseColWidth="8" defaultRowHeight="15"/>
  <cols>
    <col width="4" customWidth="1" min="1" max="1"/>
    <col width="34" customWidth="1" min="2" max="2"/>
    <col width="16" customWidth="1" min="3" max="3"/>
    <col width="70" customWidth="1" min="4" max="4"/>
  </cols>
  <sheetData>
    <row r="1">
      <c r="B1" s="11" t="inlineStr">
        <is>
          <t>Insights, Method and Data Notes</t>
        </is>
      </c>
    </row>
    <row r="3">
      <c r="B3" s="12" t="inlineStr">
        <is>
          <t>About the dataset</t>
        </is>
      </c>
    </row>
    <row r="4" ht="18" customHeight="1">
      <c r="B4" s="10" t="inlineStr">
        <is>
          <t>•  Retail office-products sales, January to December 2025, 4 regions, 4 categories, 12 products.</t>
        </is>
      </c>
    </row>
    <row r="5" ht="48" customHeight="1">
      <c r="B5" s="10" t="inlineStr">
        <is>
          <t>•  IMPORTANT: this is a synthetic (simulated) dataset generated for this exercise, with deliberately messy raw data. Replace it with a real dataset (for example a public Superstore or Kaggle sales file) if your submission needs real-world data.</t>
        </is>
      </c>
    </row>
    <row r="7">
      <c r="B7" s="12" t="inlineStr">
        <is>
          <t>Data cleaning log</t>
        </is>
      </c>
    </row>
    <row r="8">
      <c r="B8" s="13" t="inlineStr">
        <is>
          <t>Step</t>
        </is>
      </c>
      <c r="C8" s="13" t="inlineStr">
        <is>
          <t>Rows affected</t>
        </is>
      </c>
      <c r="D8" s="13" t="inlineStr">
        <is>
          <t>Notes</t>
        </is>
      </c>
    </row>
    <row r="9">
      <c r="B9" s="23" t="inlineStr">
        <is>
          <t>Raw records loaded</t>
        </is>
      </c>
      <c r="C9" s="24" t="n">
        <v>1230</v>
      </c>
      <c r="D9" s="23" t="inlineStr">
        <is>
          <t>Starting point: 1,230 rows incl. duplicates and blanks</t>
        </is>
      </c>
    </row>
    <row r="10">
      <c r="B10" s="23" t="inlineStr">
        <is>
          <t>Exact duplicate rows removed</t>
        </is>
      </c>
      <c r="C10" s="24" t="n">
        <v>30</v>
      </c>
      <c r="D10" s="23" t="inlineStr">
        <is>
          <t>Same Order ID and identical values</t>
        </is>
      </c>
    </row>
    <row r="11">
      <c r="B11" s="23" t="inlineStr">
        <is>
          <t>Rows dropped: missing Quantity</t>
        </is>
      </c>
      <c r="C11" s="24" t="n">
        <v>6</v>
      </c>
      <c r="D11" s="23" t="inlineStr">
        <is>
          <t>Sales cannot be computed without a quantity</t>
        </is>
      </c>
    </row>
    <row r="12">
      <c r="B12" s="23" t="inlineStr">
        <is>
          <t>Missing Unit Price filled</t>
        </is>
      </c>
      <c r="C12" s="24" t="n">
        <v>15</v>
      </c>
      <c r="D12" s="23" t="inlineStr">
        <is>
          <t>Filled with the product's standard (most common) price</t>
        </is>
      </c>
    </row>
    <row r="13">
      <c r="B13" s="23" t="inlineStr">
        <is>
          <t>Region labels standardised</t>
        </is>
      </c>
      <c r="C13" s="24" t="n">
        <v>140</v>
      </c>
      <c r="D13" s="23" t="inlineStr">
        <is>
          <t>Trimmed spaces and fixed upper/lower case</t>
        </is>
      </c>
    </row>
    <row r="14">
      <c r="B14" s="23" t="inlineStr">
        <is>
          <t>Text dates converted to real dates</t>
        </is>
      </c>
      <c r="C14" s="24" t="n">
        <v>300</v>
      </c>
      <c r="D14" s="23" t="inlineStr">
        <is>
          <t>Format DD-Mon-YYYY converted to Excel dates</t>
        </is>
      </c>
    </row>
    <row r="15">
      <c r="B15" s="23" t="inlineStr">
        <is>
          <t>Final clean records</t>
        </is>
      </c>
      <c r="C15" s="24" t="n">
        <v>1194</v>
      </c>
      <c r="D15" s="23" t="inlineStr">
        <is>
          <t>Rows used in all analysis</t>
        </is>
      </c>
    </row>
    <row r="17">
      <c r="B17" s="12" t="inlineStr">
        <is>
          <t>Metrics chosen and why</t>
        </is>
      </c>
    </row>
    <row r="18" ht="18" customHeight="1">
      <c r="B18" s="10" t="inlineStr">
        <is>
          <t>•  Sales = Quantity × Unit Price × (1 − Discount): the revenue actually collected per order.</t>
        </is>
      </c>
    </row>
    <row r="19" ht="18" customHeight="1">
      <c r="B19" s="10" t="inlineStr">
        <is>
          <t>•  Profit and Margin: show which products earn money, not just which sell most.</t>
        </is>
      </c>
    </row>
    <row r="20" ht="18" customHeight="1">
      <c r="B20" s="10" t="inlineStr">
        <is>
          <t>•  Orders and Average Order Value: separate demand volume from basket size.</t>
        </is>
      </c>
    </row>
    <row r="21" ht="18" customHeight="1">
      <c r="B21" s="10" t="inlineStr">
        <is>
          <t>•  Month-over-month growth and share of sales: reveal seasonality and concentration.</t>
        </is>
      </c>
    </row>
    <row r="23">
      <c r="B23" s="12" t="inlineStr">
        <is>
          <t>Dashboard structure</t>
        </is>
      </c>
    </row>
    <row r="24" ht="48" customHeight="1">
      <c r="B24" s="10" t="inlineStr">
        <is>
          <t>•  Top row: six headline KPIs. Below: monthly trend (time), category (group), product (detail), region (geography). Each chart answers one business question and reads from the Analysis sheet, which reads from Clean Data via formulas.</t>
        </is>
      </c>
    </row>
    <row r="26">
      <c r="B26" s="12" t="inlineStr">
        <is>
          <t>Key findings</t>
        </is>
      </c>
    </row>
    <row r="27" ht="33" customHeight="1">
      <c r="B27" s="10" t="inlineStr">
        <is>
          <t>•  Sales peak in Dec and are lowest in Aug; November and December together deliver 23% of annual sales, so the business is strongly seasonal.</t>
        </is>
      </c>
    </row>
    <row r="28" ht="33" customHeight="1">
      <c r="B28" s="10" t="inlineStr">
        <is>
          <t>•  Standing Desk is the top product by sales (₹11.7 lakh); the top 3 products contribute 38% of total sales. Desk Organizer is the weakest (₹2.8 lakh).</t>
        </is>
      </c>
    </row>
    <row r="29" ht="33" customHeight="1">
      <c r="B29" s="10" t="inlineStr">
        <is>
          <t>•  Furniture is the largest category by sales (33% share), while Accessories earns the best margin (39.0%) and Furniture the lowest (27.0%).</t>
        </is>
      </c>
    </row>
    <row r="30" ht="18" customHeight="1">
      <c r="B30" s="10" t="inlineStr">
        <is>
          <t>•  South is the strongest region (31% of sales) and East the weakest (15%).</t>
        </is>
      </c>
    </row>
    <row r="31" ht="33" customHeight="1">
      <c r="B31" s="10" t="inlineStr">
        <is>
          <t>•  Discounted orders earn a 28.4% margin versus 37.4% for full-price orders, so discounting has a real cost to profitability.</t>
        </is>
      </c>
    </row>
    <row r="33">
      <c r="B33" s="12" t="inlineStr">
        <is>
          <t>Recommendations</t>
        </is>
      </c>
    </row>
    <row r="34" ht="33" customHeight="1">
      <c r="B34" s="10" t="inlineStr">
        <is>
          <t>•  Build inventory and staffing ahead of Q4: stock the best-selling products before October to avoid missing the Nov–Dec peak.</t>
        </is>
      </c>
    </row>
    <row r="35" ht="33" customHeight="1">
      <c r="B35" s="10" t="inlineStr">
        <is>
          <t>•  Run targeted promotions in the slow months (Aug and neighbouring months) to smooth demand instead of discounting during peak season.</t>
        </is>
      </c>
    </row>
    <row r="36" ht="33" customHeight="1">
      <c r="B36" s="10" t="inlineStr">
        <is>
          <t>•  Protect margin on Monitor 24" (23.7% margin) through price review or supplier negotiation; push Notebook Set (54.9% margin) in bundles.</t>
        </is>
      </c>
    </row>
    <row r="37" ht="33" customHeight="1">
      <c r="B37" s="10" t="inlineStr">
        <is>
          <t>•  Investigate why East lags: check local marketing, stock availability and delivery times before adding discounts.</t>
        </is>
      </c>
    </row>
    <row r="38" ht="18" customHeight="1">
      <c r="B38" s="10" t="inlineStr">
        <is>
          <t>•  Set a discount cap for low-margin categories so promotions do not push orders below the target margin.</t>
        </is>
      </c>
    </row>
  </sheetData>
  <mergeCells count="17">
    <mergeCell ref="B28:D28"/>
    <mergeCell ref="B19:D19"/>
    <mergeCell ref="B5:D5"/>
    <mergeCell ref="B36:D36"/>
    <mergeCell ref="B34:D34"/>
    <mergeCell ref="B31:D31"/>
    <mergeCell ref="B37:D37"/>
    <mergeCell ref="B35:D35"/>
    <mergeCell ref="B4:D4"/>
    <mergeCell ref="B18:D18"/>
    <mergeCell ref="B27:D27"/>
    <mergeCell ref="B21:D21"/>
    <mergeCell ref="B30:D30"/>
    <mergeCell ref="B29:D29"/>
    <mergeCell ref="B38:D38"/>
    <mergeCell ref="B24:D24"/>
    <mergeCell ref="B20:D20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119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8" customWidth="1" min="3" max="3"/>
    <col width="10" customWidth="1" min="4" max="4"/>
    <col width="16" customWidth="1" min="5" max="5"/>
    <col width="22" customWidth="1" min="6" max="6"/>
    <col width="10" customWidth="1" min="7" max="7"/>
    <col width="12" customWidth="1" min="8" max="8"/>
    <col width="10" customWidth="1" min="9" max="9"/>
    <col width="12" customWidth="1" min="10" max="10"/>
    <col width="13" customWidth="1" min="11" max="11"/>
    <col width="13" customWidth="1" min="12" max="12"/>
  </cols>
  <sheetData>
    <row r="1">
      <c r="A1" s="13" t="inlineStr">
        <is>
          <t>Order ID</t>
        </is>
      </c>
      <c r="B1" s="13" t="inlineStr">
        <is>
          <t>Order Date</t>
        </is>
      </c>
      <c r="C1" s="13" t="inlineStr">
        <is>
          <t>Month</t>
        </is>
      </c>
      <c r="D1" s="13" t="inlineStr">
        <is>
          <t>Region</t>
        </is>
      </c>
      <c r="E1" s="13" t="inlineStr">
        <is>
          <t>Category</t>
        </is>
      </c>
      <c r="F1" s="13" t="inlineStr">
        <is>
          <t>Product</t>
        </is>
      </c>
      <c r="G1" s="13" t="inlineStr">
        <is>
          <t>Quantity</t>
        </is>
      </c>
      <c r="H1" s="13" t="inlineStr">
        <is>
          <t>Unit Price</t>
        </is>
      </c>
      <c r="I1" s="13" t="inlineStr">
        <is>
          <t>Discount</t>
        </is>
      </c>
      <c r="J1" s="13" t="inlineStr">
        <is>
          <t>Unit Cost</t>
        </is>
      </c>
      <c r="K1" s="13" t="inlineStr">
        <is>
          <t>Sales</t>
        </is>
      </c>
      <c r="L1" s="13" t="inlineStr">
        <is>
          <t>Profit</t>
        </is>
      </c>
    </row>
    <row r="2">
      <c r="A2" s="25" t="inlineStr">
        <is>
          <t>ORD-10874</t>
        </is>
      </c>
      <c r="B2" s="26" t="n">
        <v>45658</v>
      </c>
      <c r="C2" s="25">
        <f>MONTH(B2)</f>
        <v/>
      </c>
      <c r="D2" s="25" t="inlineStr">
        <is>
          <t>West</t>
        </is>
      </c>
      <c r="E2" s="25" t="inlineStr">
        <is>
          <t>Technology</t>
        </is>
      </c>
      <c r="F2" s="25" t="inlineStr">
        <is>
          <t>Mechanical Keyboard</t>
        </is>
      </c>
      <c r="G2" s="25" t="n">
        <v>3</v>
      </c>
      <c r="H2" s="27" t="n">
        <v>4200</v>
      </c>
      <c r="I2" s="28" t="n">
        <v>0.15</v>
      </c>
      <c r="J2" s="27" t="n">
        <v>2500</v>
      </c>
      <c r="K2" s="27">
        <f>G2*H2*(1-I2)</f>
        <v/>
      </c>
      <c r="L2" s="27">
        <f>K2-G2*J2</f>
        <v/>
      </c>
    </row>
    <row r="3">
      <c r="A3" s="25" t="inlineStr">
        <is>
          <t>ORD-10004</t>
        </is>
      </c>
      <c r="B3" s="26" t="n">
        <v>45659</v>
      </c>
      <c r="C3" s="25">
        <f>MONTH(B3)</f>
        <v/>
      </c>
      <c r="D3" s="25" t="inlineStr">
        <is>
          <t>North</t>
        </is>
      </c>
      <c r="E3" s="25" t="inlineStr">
        <is>
          <t>Accessories</t>
        </is>
      </c>
      <c r="F3" s="25" t="inlineStr">
        <is>
          <t>Webcam</t>
        </is>
      </c>
      <c r="G3" s="25" t="n">
        <v>1</v>
      </c>
      <c r="H3" s="27" t="n">
        <v>3200</v>
      </c>
      <c r="I3" s="28" t="n">
        <v>0</v>
      </c>
      <c r="J3" s="27" t="n">
        <v>1900</v>
      </c>
      <c r="K3" s="27">
        <f>G3*H3*(1-I3)</f>
        <v/>
      </c>
      <c r="L3" s="27">
        <f>K3-G3*J3</f>
        <v/>
      </c>
    </row>
    <row r="4">
      <c r="A4" s="25" t="inlineStr">
        <is>
          <t>ORD-10244</t>
        </is>
      </c>
      <c r="B4" s="26" t="n">
        <v>45659</v>
      </c>
      <c r="C4" s="25">
        <f>MONTH(B4)</f>
        <v/>
      </c>
      <c r="D4" s="25" t="inlineStr">
        <is>
          <t>West</t>
        </is>
      </c>
      <c r="E4" s="25" t="inlineStr">
        <is>
          <t>Technology</t>
        </is>
      </c>
      <c r="F4" s="25" t="inlineStr">
        <is>
          <t>Mechanical Keyboard</t>
        </is>
      </c>
      <c r="G4" s="25" t="n">
        <v>1</v>
      </c>
      <c r="H4" s="27" t="n">
        <v>4200</v>
      </c>
      <c r="I4" s="28" t="n">
        <v>0.1</v>
      </c>
      <c r="J4" s="27" t="n">
        <v>2500</v>
      </c>
      <c r="K4" s="27">
        <f>G4*H4*(1-I4)</f>
        <v/>
      </c>
      <c r="L4" s="27">
        <f>K4-G4*J4</f>
        <v/>
      </c>
    </row>
    <row r="5">
      <c r="A5" s="25" t="inlineStr">
        <is>
          <t>ORD-10728</t>
        </is>
      </c>
      <c r="B5" s="26" t="n">
        <v>45659</v>
      </c>
      <c r="C5" s="25">
        <f>MONTH(B5)</f>
        <v/>
      </c>
      <c r="D5" s="25" t="inlineStr">
        <is>
          <t>South</t>
        </is>
      </c>
      <c r="E5" s="25" t="inlineStr">
        <is>
          <t>Accessories</t>
        </is>
      </c>
      <c r="F5" s="25" t="inlineStr">
        <is>
          <t>Headphones</t>
        </is>
      </c>
      <c r="G5" s="25" t="n">
        <v>2</v>
      </c>
      <c r="H5" s="27" t="n">
        <v>4500</v>
      </c>
      <c r="I5" s="28" t="n">
        <v>0.05</v>
      </c>
      <c r="J5" s="27" t="n">
        <v>2600</v>
      </c>
      <c r="K5" s="27">
        <f>G5*H5*(1-I5)</f>
        <v/>
      </c>
      <c r="L5" s="27">
        <f>K5-G5*J5</f>
        <v/>
      </c>
    </row>
    <row r="6">
      <c r="A6" s="25" t="inlineStr">
        <is>
          <t>ORD-10789</t>
        </is>
      </c>
      <c r="B6" s="26" t="n">
        <v>45660</v>
      </c>
      <c r="C6" s="25">
        <f>MONTH(B6)</f>
        <v/>
      </c>
      <c r="D6" s="25" t="inlineStr">
        <is>
          <t>South</t>
        </is>
      </c>
      <c r="E6" s="25" t="inlineStr">
        <is>
          <t>Office Supplies</t>
        </is>
      </c>
      <c r="F6" s="25" t="inlineStr">
        <is>
          <t>Printer Paper Box</t>
        </is>
      </c>
      <c r="G6" s="25" t="n">
        <v>4</v>
      </c>
      <c r="H6" s="27" t="n">
        <v>1600</v>
      </c>
      <c r="I6" s="28" t="n">
        <v>0</v>
      </c>
      <c r="J6" s="27" t="n">
        <v>1050</v>
      </c>
      <c r="K6" s="27">
        <f>G6*H6*(1-I6)</f>
        <v/>
      </c>
      <c r="L6" s="27">
        <f>K6-G6*J6</f>
        <v/>
      </c>
    </row>
    <row r="7">
      <c r="A7" s="25" t="inlineStr">
        <is>
          <t>ORD-10898</t>
        </is>
      </c>
      <c r="B7" s="26" t="n">
        <v>45660</v>
      </c>
      <c r="C7" s="25">
        <f>MONTH(B7)</f>
        <v/>
      </c>
      <c r="D7" s="25" t="inlineStr">
        <is>
          <t>South</t>
        </is>
      </c>
      <c r="E7" s="25" t="inlineStr">
        <is>
          <t>Furniture</t>
        </is>
      </c>
      <c r="F7" s="25" t="inlineStr">
        <is>
          <t>Standing Desk</t>
        </is>
      </c>
      <c r="G7" s="25" t="n">
        <v>2</v>
      </c>
      <c r="H7" s="27" t="n">
        <v>19500</v>
      </c>
      <c r="I7" s="28" t="n">
        <v>0</v>
      </c>
      <c r="J7" s="27" t="n">
        <v>13800</v>
      </c>
      <c r="K7" s="27">
        <f>G7*H7*(1-I7)</f>
        <v/>
      </c>
      <c r="L7" s="27">
        <f>K7-G7*J7</f>
        <v/>
      </c>
    </row>
    <row r="8">
      <c r="A8" s="25" t="inlineStr">
        <is>
          <t>ORD-10157</t>
        </is>
      </c>
      <c r="B8" s="26" t="n">
        <v>45661</v>
      </c>
      <c r="C8" s="25">
        <f>MONTH(B8)</f>
        <v/>
      </c>
      <c r="D8" s="25" t="inlineStr">
        <is>
          <t>West</t>
        </is>
      </c>
      <c r="E8" s="25" t="inlineStr">
        <is>
          <t>Accessories</t>
        </is>
      </c>
      <c r="F8" s="25" t="inlineStr">
        <is>
          <t>Headphones</t>
        </is>
      </c>
      <c r="G8" s="25" t="n">
        <v>3</v>
      </c>
      <c r="H8" s="27" t="n">
        <v>4500</v>
      </c>
      <c r="I8" s="28" t="n">
        <v>0</v>
      </c>
      <c r="J8" s="27" t="n">
        <v>2600</v>
      </c>
      <c r="K8" s="27">
        <f>G8*H8*(1-I8)</f>
        <v/>
      </c>
      <c r="L8" s="27">
        <f>K8-G8*J8</f>
        <v/>
      </c>
    </row>
    <row r="9">
      <c r="A9" s="25" t="inlineStr">
        <is>
          <t>ORD-10877</t>
        </is>
      </c>
      <c r="B9" s="26" t="n">
        <v>45661</v>
      </c>
      <c r="C9" s="25">
        <f>MONTH(B9)</f>
        <v/>
      </c>
      <c r="D9" s="25" t="inlineStr">
        <is>
          <t>South</t>
        </is>
      </c>
      <c r="E9" s="25" t="inlineStr">
        <is>
          <t>Technology</t>
        </is>
      </c>
      <c r="F9" s="25" t="inlineStr">
        <is>
          <t>Wireless Mouse</t>
        </is>
      </c>
      <c r="G9" s="25" t="n">
        <v>4</v>
      </c>
      <c r="H9" s="27" t="n">
        <v>1200</v>
      </c>
      <c r="I9" s="28" t="n">
        <v>0</v>
      </c>
      <c r="J9" s="27" t="n">
        <v>650</v>
      </c>
      <c r="K9" s="27">
        <f>G9*H9*(1-I9)</f>
        <v/>
      </c>
      <c r="L9" s="27">
        <f>K9-G9*J9</f>
        <v/>
      </c>
    </row>
    <row r="10">
      <c r="A10" s="25" t="inlineStr">
        <is>
          <t>ORD-10891</t>
        </is>
      </c>
      <c r="B10" s="26" t="n">
        <v>45661</v>
      </c>
      <c r="C10" s="25">
        <f>MONTH(B10)</f>
        <v/>
      </c>
      <c r="D10" s="25" t="inlineStr">
        <is>
          <t>West</t>
        </is>
      </c>
      <c r="E10" s="25" t="inlineStr">
        <is>
          <t>Accessories</t>
        </is>
      </c>
      <c r="F10" s="25" t="inlineStr">
        <is>
          <t>Webcam</t>
        </is>
      </c>
      <c r="G10" s="25" t="n">
        <v>2</v>
      </c>
      <c r="H10" s="27" t="n">
        <v>3200</v>
      </c>
      <c r="I10" s="28" t="n">
        <v>0</v>
      </c>
      <c r="J10" s="27" t="n">
        <v>1900</v>
      </c>
      <c r="K10" s="27">
        <f>G10*H10*(1-I10)</f>
        <v/>
      </c>
      <c r="L10" s="27">
        <f>K10-G10*J10</f>
        <v/>
      </c>
    </row>
    <row r="11">
      <c r="A11" s="25" t="inlineStr">
        <is>
          <t>ORD-10051</t>
        </is>
      </c>
      <c r="B11" s="26" t="n">
        <v>45662</v>
      </c>
      <c r="C11" s="25">
        <f>MONTH(B11)</f>
        <v/>
      </c>
      <c r="D11" s="25" t="inlineStr">
        <is>
          <t>South</t>
        </is>
      </c>
      <c r="E11" s="25" t="inlineStr">
        <is>
          <t>Office Supplies</t>
        </is>
      </c>
      <c r="F11" s="25" t="inlineStr">
        <is>
          <t>Printer Paper Box</t>
        </is>
      </c>
      <c r="G11" s="25" t="n">
        <v>6</v>
      </c>
      <c r="H11" s="27" t="n">
        <v>1600</v>
      </c>
      <c r="I11" s="28" t="n">
        <v>0.2</v>
      </c>
      <c r="J11" s="27" t="n">
        <v>1050</v>
      </c>
      <c r="K11" s="27">
        <f>G11*H11*(1-I11)</f>
        <v/>
      </c>
      <c r="L11" s="27">
        <f>K11-G11*J11</f>
        <v/>
      </c>
    </row>
    <row r="12">
      <c r="A12" s="25" t="inlineStr">
        <is>
          <t>ORD-10315</t>
        </is>
      </c>
      <c r="B12" s="26" t="n">
        <v>45662</v>
      </c>
      <c r="C12" s="25">
        <f>MONTH(B12)</f>
        <v/>
      </c>
      <c r="D12" s="25" t="inlineStr">
        <is>
          <t>South</t>
        </is>
      </c>
      <c r="E12" s="25" t="inlineStr">
        <is>
          <t>Technology</t>
        </is>
      </c>
      <c r="F12" s="25" t="inlineStr">
        <is>
          <t>Wireless Mouse</t>
        </is>
      </c>
      <c r="G12" s="25" t="n">
        <v>1</v>
      </c>
      <c r="H12" s="27" t="n">
        <v>1200</v>
      </c>
      <c r="I12" s="28" t="n">
        <v>0</v>
      </c>
      <c r="J12" s="27" t="n">
        <v>650</v>
      </c>
      <c r="K12" s="27">
        <f>G12*H12*(1-I12)</f>
        <v/>
      </c>
      <c r="L12" s="27">
        <f>K12-G12*J12</f>
        <v/>
      </c>
    </row>
    <row r="13">
      <c r="A13" s="25" t="inlineStr">
        <is>
          <t>ORD-10469</t>
        </is>
      </c>
      <c r="B13" s="26" t="n">
        <v>45662</v>
      </c>
      <c r="C13" s="25">
        <f>MONTH(B13)</f>
        <v/>
      </c>
      <c r="D13" s="25" t="inlineStr">
        <is>
          <t>West</t>
        </is>
      </c>
      <c r="E13" s="25" t="inlineStr">
        <is>
          <t>Accessories</t>
        </is>
      </c>
      <c r="F13" s="25" t="inlineStr">
        <is>
          <t>Webcam</t>
        </is>
      </c>
      <c r="G13" s="25" t="n">
        <v>2</v>
      </c>
      <c r="H13" s="27" t="n">
        <v>3200</v>
      </c>
      <c r="I13" s="28" t="n">
        <v>0</v>
      </c>
      <c r="J13" s="27" t="n">
        <v>1900</v>
      </c>
      <c r="K13" s="27">
        <f>G13*H13*(1-I13)</f>
        <v/>
      </c>
      <c r="L13" s="27">
        <f>K13-G13*J13</f>
        <v/>
      </c>
    </row>
    <row r="14">
      <c r="A14" s="25" t="inlineStr">
        <is>
          <t>ORD-10488</t>
        </is>
      </c>
      <c r="B14" s="26" t="n">
        <v>45662</v>
      </c>
      <c r="C14" s="25">
        <f>MONTH(B14)</f>
        <v/>
      </c>
      <c r="D14" s="25" t="inlineStr">
        <is>
          <t>South</t>
        </is>
      </c>
      <c r="E14" s="25" t="inlineStr">
        <is>
          <t>Technology</t>
        </is>
      </c>
      <c r="F14" s="25" t="inlineStr">
        <is>
          <t>Mechanical Keyboard</t>
        </is>
      </c>
      <c r="G14" s="25" t="n">
        <v>1</v>
      </c>
      <c r="H14" s="27" t="n">
        <v>4200</v>
      </c>
      <c r="I14" s="28" t="n">
        <v>0</v>
      </c>
      <c r="J14" s="27" t="n">
        <v>2500</v>
      </c>
      <c r="K14" s="27">
        <f>G14*H14*(1-I14)</f>
        <v/>
      </c>
      <c r="L14" s="27">
        <f>K14-G14*J14</f>
        <v/>
      </c>
    </row>
    <row r="15">
      <c r="A15" s="25" t="inlineStr">
        <is>
          <t>ORD-10602</t>
        </is>
      </c>
      <c r="B15" s="26" t="n">
        <v>45662</v>
      </c>
      <c r="C15" s="25">
        <f>MONTH(B15)</f>
        <v/>
      </c>
      <c r="D15" s="25" t="inlineStr">
        <is>
          <t>South</t>
        </is>
      </c>
      <c r="E15" s="25" t="inlineStr">
        <is>
          <t>Technology</t>
        </is>
      </c>
      <c r="F15" s="25" t="inlineStr">
        <is>
          <t>Mechanical Keyboard</t>
        </is>
      </c>
      <c r="G15" s="25" t="n">
        <v>2</v>
      </c>
      <c r="H15" s="27" t="n">
        <v>4200</v>
      </c>
      <c r="I15" s="28" t="n">
        <v>0</v>
      </c>
      <c r="J15" s="27" t="n">
        <v>2500</v>
      </c>
      <c r="K15" s="27">
        <f>G15*H15*(1-I15)</f>
        <v/>
      </c>
      <c r="L15" s="27">
        <f>K15-G15*J15</f>
        <v/>
      </c>
    </row>
    <row r="16">
      <c r="A16" s="25" t="inlineStr">
        <is>
          <t>ORD-10944</t>
        </is>
      </c>
      <c r="B16" s="26" t="n">
        <v>45662</v>
      </c>
      <c r="C16" s="25">
        <f>MONTH(B16)</f>
        <v/>
      </c>
      <c r="D16" s="25" t="inlineStr">
        <is>
          <t>North</t>
        </is>
      </c>
      <c r="E16" s="25" t="inlineStr">
        <is>
          <t>Technology</t>
        </is>
      </c>
      <c r="F16" s="25" t="inlineStr">
        <is>
          <t>Wireless Mouse</t>
        </is>
      </c>
      <c r="G16" s="25" t="n">
        <v>2</v>
      </c>
      <c r="H16" s="27" t="n">
        <v>1200</v>
      </c>
      <c r="I16" s="28" t="n">
        <v>0</v>
      </c>
      <c r="J16" s="27" t="n">
        <v>650</v>
      </c>
      <c r="K16" s="27">
        <f>G16*H16*(1-I16)</f>
        <v/>
      </c>
      <c r="L16" s="27">
        <f>K16-G16*J16</f>
        <v/>
      </c>
    </row>
    <row r="17">
      <c r="A17" s="25" t="inlineStr">
        <is>
          <t>ORD-11113</t>
        </is>
      </c>
      <c r="B17" s="26" t="n">
        <v>45662</v>
      </c>
      <c r="C17" s="25">
        <f>MONTH(B17)</f>
        <v/>
      </c>
      <c r="D17" s="25" t="inlineStr">
        <is>
          <t>West</t>
        </is>
      </c>
      <c r="E17" s="25" t="inlineStr">
        <is>
          <t>Office Supplies</t>
        </is>
      </c>
      <c r="F17" s="25" t="inlineStr">
        <is>
          <t>Notebook Set</t>
        </is>
      </c>
      <c r="G17" s="25" t="n">
        <v>5</v>
      </c>
      <c r="H17" s="27" t="n">
        <v>450</v>
      </c>
      <c r="I17" s="28" t="n">
        <v>0.1</v>
      </c>
      <c r="J17" s="27" t="n">
        <v>190</v>
      </c>
      <c r="K17" s="27">
        <f>G17*H17*(1-I17)</f>
        <v/>
      </c>
      <c r="L17" s="27">
        <f>K17-G17*J17</f>
        <v/>
      </c>
    </row>
    <row r="18">
      <c r="A18" s="25" t="inlineStr">
        <is>
          <t>ORD-10712</t>
        </is>
      </c>
      <c r="B18" s="26" t="n">
        <v>45663</v>
      </c>
      <c r="C18" s="25">
        <f>MONTH(B18)</f>
        <v/>
      </c>
      <c r="D18" s="25" t="inlineStr">
        <is>
          <t>South</t>
        </is>
      </c>
      <c r="E18" s="25" t="inlineStr">
        <is>
          <t>Technology</t>
        </is>
      </c>
      <c r="F18" s="25" t="inlineStr">
        <is>
          <t>Wireless Mouse</t>
        </is>
      </c>
      <c r="G18" s="25" t="n">
        <v>3</v>
      </c>
      <c r="H18" s="27" t="n">
        <v>1200</v>
      </c>
      <c r="I18" s="28" t="n">
        <v>0</v>
      </c>
      <c r="J18" s="27" t="n">
        <v>650</v>
      </c>
      <c r="K18" s="27">
        <f>G18*H18*(1-I18)</f>
        <v/>
      </c>
      <c r="L18" s="27">
        <f>K18-G18*J18</f>
        <v/>
      </c>
    </row>
    <row r="19">
      <c r="A19" s="25" t="inlineStr">
        <is>
          <t>ORD-10826</t>
        </is>
      </c>
      <c r="B19" s="26" t="n">
        <v>45663</v>
      </c>
      <c r="C19" s="25">
        <f>MONTH(B19)</f>
        <v/>
      </c>
      <c r="D19" s="25" t="inlineStr">
        <is>
          <t>South</t>
        </is>
      </c>
      <c r="E19" s="25" t="inlineStr">
        <is>
          <t>Technology</t>
        </is>
      </c>
      <c r="F19" s="25" t="inlineStr">
        <is>
          <t>Mechanical Keyboard</t>
        </is>
      </c>
      <c r="G19" s="25" t="n">
        <v>2</v>
      </c>
      <c r="H19" s="27" t="n">
        <v>4200</v>
      </c>
      <c r="I19" s="28" t="n">
        <v>0.2</v>
      </c>
      <c r="J19" s="27" t="n">
        <v>2500</v>
      </c>
      <c r="K19" s="27">
        <f>G19*H19*(1-I19)</f>
        <v/>
      </c>
      <c r="L19" s="27">
        <f>K19-G19*J19</f>
        <v/>
      </c>
    </row>
    <row r="20">
      <c r="A20" s="25" t="inlineStr">
        <is>
          <t>ORD-10585</t>
        </is>
      </c>
      <c r="B20" s="26" t="n">
        <v>45664</v>
      </c>
      <c r="C20" s="25">
        <f>MONTH(B20)</f>
        <v/>
      </c>
      <c r="D20" s="25" t="inlineStr">
        <is>
          <t>North</t>
        </is>
      </c>
      <c r="E20" s="25" t="inlineStr">
        <is>
          <t>Technology</t>
        </is>
      </c>
      <c r="F20" s="25" t="inlineStr">
        <is>
          <t>Mechanical Keyboard</t>
        </is>
      </c>
      <c r="G20" s="25" t="n">
        <v>3</v>
      </c>
      <c r="H20" s="27" t="n">
        <v>4200</v>
      </c>
      <c r="I20" s="28" t="n">
        <v>0</v>
      </c>
      <c r="J20" s="27" t="n">
        <v>2500</v>
      </c>
      <c r="K20" s="27">
        <f>G20*H20*(1-I20)</f>
        <v/>
      </c>
      <c r="L20" s="27">
        <f>K20-G20*J20</f>
        <v/>
      </c>
    </row>
    <row r="21">
      <c r="A21" s="25" t="inlineStr">
        <is>
          <t>ORD-10986</t>
        </is>
      </c>
      <c r="B21" s="26" t="n">
        <v>45664</v>
      </c>
      <c r="C21" s="25">
        <f>MONTH(B21)</f>
        <v/>
      </c>
      <c r="D21" s="25" t="inlineStr">
        <is>
          <t>North</t>
        </is>
      </c>
      <c r="E21" s="25" t="inlineStr">
        <is>
          <t>Accessories</t>
        </is>
      </c>
      <c r="F21" s="25" t="inlineStr">
        <is>
          <t>USB-C Hub</t>
        </is>
      </c>
      <c r="G21" s="25" t="n">
        <v>2</v>
      </c>
      <c r="H21" s="27" t="n">
        <v>1800</v>
      </c>
      <c r="I21" s="28" t="n">
        <v>0.15</v>
      </c>
      <c r="J21" s="27" t="n">
        <v>980</v>
      </c>
      <c r="K21" s="27">
        <f>G21*H21*(1-I21)</f>
        <v/>
      </c>
      <c r="L21" s="27">
        <f>K21-G21*J21</f>
        <v/>
      </c>
    </row>
    <row r="22">
      <c r="A22" s="25" t="inlineStr">
        <is>
          <t>ORD-10123</t>
        </is>
      </c>
      <c r="B22" s="26" t="n">
        <v>45665</v>
      </c>
      <c r="C22" s="25">
        <f>MONTH(B22)</f>
        <v/>
      </c>
      <c r="D22" s="25" t="inlineStr">
        <is>
          <t>West</t>
        </is>
      </c>
      <c r="E22" s="25" t="inlineStr">
        <is>
          <t>Accessories</t>
        </is>
      </c>
      <c r="F22" s="25" t="inlineStr">
        <is>
          <t>Headphones</t>
        </is>
      </c>
      <c r="G22" s="25" t="n">
        <v>1</v>
      </c>
      <c r="H22" s="27" t="n">
        <v>4500</v>
      </c>
      <c r="I22" s="28" t="n">
        <v>0</v>
      </c>
      <c r="J22" s="27" t="n">
        <v>2600</v>
      </c>
      <c r="K22" s="27">
        <f>G22*H22*(1-I22)</f>
        <v/>
      </c>
      <c r="L22" s="27">
        <f>K22-G22*J22</f>
        <v/>
      </c>
    </row>
    <row r="23">
      <c r="A23" s="25" t="inlineStr">
        <is>
          <t>ORD-10050</t>
        </is>
      </c>
      <c r="B23" s="26" t="n">
        <v>45666</v>
      </c>
      <c r="C23" s="25">
        <f>MONTH(B23)</f>
        <v/>
      </c>
      <c r="D23" s="25" t="inlineStr">
        <is>
          <t>North</t>
        </is>
      </c>
      <c r="E23" s="25" t="inlineStr">
        <is>
          <t>Furniture</t>
        </is>
      </c>
      <c r="F23" s="25" t="inlineStr">
        <is>
          <t>Bookshelf</t>
        </is>
      </c>
      <c r="G23" s="25" t="n">
        <v>3</v>
      </c>
      <c r="H23" s="27" t="n">
        <v>6200</v>
      </c>
      <c r="I23" s="28" t="n">
        <v>0.2</v>
      </c>
      <c r="J23" s="27" t="n">
        <v>4100</v>
      </c>
      <c r="K23" s="27">
        <f>G23*H23*(1-I23)</f>
        <v/>
      </c>
      <c r="L23" s="27">
        <f>K23-G23*J23</f>
        <v/>
      </c>
    </row>
    <row r="24">
      <c r="A24" s="25" t="inlineStr">
        <is>
          <t>ORD-10633</t>
        </is>
      </c>
      <c r="B24" s="26" t="n">
        <v>45666</v>
      </c>
      <c r="C24" s="25">
        <f>MONTH(B24)</f>
        <v/>
      </c>
      <c r="D24" s="25" t="inlineStr">
        <is>
          <t>South</t>
        </is>
      </c>
      <c r="E24" s="25" t="inlineStr">
        <is>
          <t>Furniture</t>
        </is>
      </c>
      <c r="F24" s="25" t="inlineStr">
        <is>
          <t>Standing Desk</t>
        </is>
      </c>
      <c r="G24" s="25" t="n">
        <v>2</v>
      </c>
      <c r="H24" s="27" t="n">
        <v>19500</v>
      </c>
      <c r="I24" s="28" t="n">
        <v>0</v>
      </c>
      <c r="J24" s="27" t="n">
        <v>13800</v>
      </c>
      <c r="K24" s="27">
        <f>G24*H24*(1-I24)</f>
        <v/>
      </c>
      <c r="L24" s="27">
        <f>K24-G24*J24</f>
        <v/>
      </c>
    </row>
    <row r="25">
      <c r="A25" s="25" t="inlineStr">
        <is>
          <t>ORD-11148</t>
        </is>
      </c>
      <c r="B25" s="26" t="n">
        <v>45666</v>
      </c>
      <c r="C25" s="25">
        <f>MONTH(B25)</f>
        <v/>
      </c>
      <c r="D25" s="25" t="inlineStr">
        <is>
          <t>East</t>
        </is>
      </c>
      <c r="E25" s="25" t="inlineStr">
        <is>
          <t>Furniture</t>
        </is>
      </c>
      <c r="F25" s="25" t="inlineStr">
        <is>
          <t>Office Chair</t>
        </is>
      </c>
      <c r="G25" s="25" t="n">
        <v>1</v>
      </c>
      <c r="H25" s="27" t="n">
        <v>8500</v>
      </c>
      <c r="I25" s="28" t="n">
        <v>0.15</v>
      </c>
      <c r="J25" s="27" t="n">
        <v>5600</v>
      </c>
      <c r="K25" s="27">
        <f>G25*H25*(1-I25)</f>
        <v/>
      </c>
      <c r="L25" s="27">
        <f>K25-G25*J25</f>
        <v/>
      </c>
    </row>
    <row r="26">
      <c r="A26" s="25" t="inlineStr">
        <is>
          <t>ORD-10065</t>
        </is>
      </c>
      <c r="B26" s="26" t="n">
        <v>45667</v>
      </c>
      <c r="C26" s="25">
        <f>MONTH(B26)</f>
        <v/>
      </c>
      <c r="D26" s="25" t="inlineStr">
        <is>
          <t>East</t>
        </is>
      </c>
      <c r="E26" s="25" t="inlineStr">
        <is>
          <t>Office Supplies</t>
        </is>
      </c>
      <c r="F26" s="25" t="inlineStr">
        <is>
          <t>Notebook Set</t>
        </is>
      </c>
      <c r="G26" s="25" t="n">
        <v>4</v>
      </c>
      <c r="H26" s="27" t="n">
        <v>450</v>
      </c>
      <c r="I26" s="28" t="n">
        <v>0</v>
      </c>
      <c r="J26" s="27" t="n">
        <v>190</v>
      </c>
      <c r="K26" s="27">
        <f>G26*H26*(1-I26)</f>
        <v/>
      </c>
      <c r="L26" s="27">
        <f>K26-G26*J26</f>
        <v/>
      </c>
    </row>
    <row r="27">
      <c r="A27" s="25" t="inlineStr">
        <is>
          <t>ORD-10237</t>
        </is>
      </c>
      <c r="B27" s="26" t="n">
        <v>45667</v>
      </c>
      <c r="C27" s="25">
        <f>MONTH(B27)</f>
        <v/>
      </c>
      <c r="D27" s="25" t="inlineStr">
        <is>
          <t>West</t>
        </is>
      </c>
      <c r="E27" s="25" t="inlineStr">
        <is>
          <t>Accessories</t>
        </is>
      </c>
      <c r="F27" s="25" t="inlineStr">
        <is>
          <t>Webcam</t>
        </is>
      </c>
      <c r="G27" s="25" t="n">
        <v>3</v>
      </c>
      <c r="H27" s="27" t="n">
        <v>3200</v>
      </c>
      <c r="I27" s="28" t="n">
        <v>0.2</v>
      </c>
      <c r="J27" s="27" t="n">
        <v>1900</v>
      </c>
      <c r="K27" s="27">
        <f>G27*H27*(1-I27)</f>
        <v/>
      </c>
      <c r="L27" s="27">
        <f>K27-G27*J27</f>
        <v/>
      </c>
    </row>
    <row r="28">
      <c r="A28" s="25" t="inlineStr">
        <is>
          <t>ORD-10410</t>
        </is>
      </c>
      <c r="B28" s="26" t="n">
        <v>45667</v>
      </c>
      <c r="C28" s="25">
        <f>MONTH(B28)</f>
        <v/>
      </c>
      <c r="D28" s="25" t="inlineStr">
        <is>
          <t>West</t>
        </is>
      </c>
      <c r="E28" s="25" t="inlineStr">
        <is>
          <t>Technology</t>
        </is>
      </c>
      <c r="F28" s="25" t="inlineStr">
        <is>
          <t>Mechanical Keyboard</t>
        </is>
      </c>
      <c r="G28" s="25" t="n">
        <v>2</v>
      </c>
      <c r="H28" s="27" t="n">
        <v>4200</v>
      </c>
      <c r="I28" s="28" t="n">
        <v>0</v>
      </c>
      <c r="J28" s="27" t="n">
        <v>2500</v>
      </c>
      <c r="K28" s="27">
        <f>G28*H28*(1-I28)</f>
        <v/>
      </c>
      <c r="L28" s="27">
        <f>K28-G28*J28</f>
        <v/>
      </c>
    </row>
    <row r="29">
      <c r="A29" s="25" t="inlineStr">
        <is>
          <t>ORD-10598</t>
        </is>
      </c>
      <c r="B29" s="26" t="n">
        <v>45667</v>
      </c>
      <c r="C29" s="25">
        <f>MONTH(B29)</f>
        <v/>
      </c>
      <c r="D29" s="25" t="inlineStr">
        <is>
          <t>West</t>
        </is>
      </c>
      <c r="E29" s="25" t="inlineStr">
        <is>
          <t>Accessories</t>
        </is>
      </c>
      <c r="F29" s="25" t="inlineStr">
        <is>
          <t>Webcam</t>
        </is>
      </c>
      <c r="G29" s="25" t="n">
        <v>2</v>
      </c>
      <c r="H29" s="27" t="n">
        <v>3200</v>
      </c>
      <c r="I29" s="28" t="n">
        <v>0</v>
      </c>
      <c r="J29" s="27" t="n">
        <v>1900</v>
      </c>
      <c r="K29" s="27">
        <f>G29*H29*(1-I29)</f>
        <v/>
      </c>
      <c r="L29" s="27">
        <f>K29-G29*J29</f>
        <v/>
      </c>
    </row>
    <row r="30">
      <c r="A30" s="25" t="inlineStr">
        <is>
          <t>ORD-10645</t>
        </is>
      </c>
      <c r="B30" s="26" t="n">
        <v>45667</v>
      </c>
      <c r="C30" s="25">
        <f>MONTH(B30)</f>
        <v/>
      </c>
      <c r="D30" s="25" t="inlineStr">
        <is>
          <t>East</t>
        </is>
      </c>
      <c r="E30" s="25" t="inlineStr">
        <is>
          <t>Furniture</t>
        </is>
      </c>
      <c r="F30" s="25" t="inlineStr">
        <is>
          <t>Standing Desk</t>
        </is>
      </c>
      <c r="G30" s="25" t="n">
        <v>1</v>
      </c>
      <c r="H30" s="27" t="n">
        <v>19500</v>
      </c>
      <c r="I30" s="28" t="n">
        <v>0</v>
      </c>
      <c r="J30" s="27" t="n">
        <v>13800</v>
      </c>
      <c r="K30" s="27">
        <f>G30*H30*(1-I30)</f>
        <v/>
      </c>
      <c r="L30" s="27">
        <f>K30-G30*J30</f>
        <v/>
      </c>
    </row>
    <row r="31">
      <c r="A31" s="25" t="inlineStr">
        <is>
          <t>ORD-10775</t>
        </is>
      </c>
      <c r="B31" s="26" t="n">
        <v>45667</v>
      </c>
      <c r="C31" s="25">
        <f>MONTH(B31)</f>
        <v/>
      </c>
      <c r="D31" s="25" t="inlineStr">
        <is>
          <t>West</t>
        </is>
      </c>
      <c r="E31" s="25" t="inlineStr">
        <is>
          <t>Office Supplies</t>
        </is>
      </c>
      <c r="F31" s="25" t="inlineStr">
        <is>
          <t>Printer Paper Box</t>
        </is>
      </c>
      <c r="G31" s="25" t="n">
        <v>6</v>
      </c>
      <c r="H31" s="27" t="n">
        <v>1600</v>
      </c>
      <c r="I31" s="28" t="n">
        <v>0</v>
      </c>
      <c r="J31" s="27" t="n">
        <v>1050</v>
      </c>
      <c r="K31" s="27">
        <f>G31*H31*(1-I31)</f>
        <v/>
      </c>
      <c r="L31" s="27">
        <f>K31-G31*J31</f>
        <v/>
      </c>
    </row>
    <row r="32">
      <c r="A32" s="25" t="inlineStr">
        <is>
          <t>ORD-11006</t>
        </is>
      </c>
      <c r="B32" s="26" t="n">
        <v>45667</v>
      </c>
      <c r="C32" s="25">
        <f>MONTH(B32)</f>
        <v/>
      </c>
      <c r="D32" s="25" t="inlineStr">
        <is>
          <t>North</t>
        </is>
      </c>
      <c r="E32" s="25" t="inlineStr">
        <is>
          <t>Furniture</t>
        </is>
      </c>
      <c r="F32" s="25" t="inlineStr">
        <is>
          <t>Standing Desk</t>
        </is>
      </c>
      <c r="G32" s="25" t="n">
        <v>2</v>
      </c>
      <c r="H32" s="27" t="n">
        <v>19500</v>
      </c>
      <c r="I32" s="28" t="n">
        <v>0.2</v>
      </c>
      <c r="J32" s="27" t="n">
        <v>13800</v>
      </c>
      <c r="K32" s="27">
        <f>G32*H32*(1-I32)</f>
        <v/>
      </c>
      <c r="L32" s="27">
        <f>K32-G32*J32</f>
        <v/>
      </c>
    </row>
    <row r="33">
      <c r="A33" s="25" t="inlineStr">
        <is>
          <t>ORD-11092</t>
        </is>
      </c>
      <c r="B33" s="26" t="n">
        <v>45667</v>
      </c>
      <c r="C33" s="25">
        <f>MONTH(B33)</f>
        <v/>
      </c>
      <c r="D33" s="25" t="inlineStr">
        <is>
          <t>South</t>
        </is>
      </c>
      <c r="E33" s="25" t="inlineStr">
        <is>
          <t>Technology</t>
        </is>
      </c>
      <c r="F33" s="25" t="inlineStr">
        <is>
          <t>Mechanical Keyboard</t>
        </is>
      </c>
      <c r="G33" s="25" t="n">
        <v>1</v>
      </c>
      <c r="H33" s="27" t="n">
        <v>4200</v>
      </c>
      <c r="I33" s="28" t="n">
        <v>0.1</v>
      </c>
      <c r="J33" s="27" t="n">
        <v>2500</v>
      </c>
      <c r="K33" s="27">
        <f>G33*H33*(1-I33)</f>
        <v/>
      </c>
      <c r="L33" s="27">
        <f>K33-G33*J33</f>
        <v/>
      </c>
    </row>
    <row r="34">
      <c r="A34" s="25" t="inlineStr">
        <is>
          <t>ORD-10651</t>
        </is>
      </c>
      <c r="B34" s="26" t="n">
        <v>45668</v>
      </c>
      <c r="C34" s="25">
        <f>MONTH(B34)</f>
        <v/>
      </c>
      <c r="D34" s="25" t="inlineStr">
        <is>
          <t>West</t>
        </is>
      </c>
      <c r="E34" s="25" t="inlineStr">
        <is>
          <t>Accessories</t>
        </is>
      </c>
      <c r="F34" s="25" t="inlineStr">
        <is>
          <t>Headphones</t>
        </is>
      </c>
      <c r="G34" s="25" t="n">
        <v>1</v>
      </c>
      <c r="H34" s="27" t="n">
        <v>4500</v>
      </c>
      <c r="I34" s="28" t="n">
        <v>0.05</v>
      </c>
      <c r="J34" s="27" t="n">
        <v>2600</v>
      </c>
      <c r="K34" s="27">
        <f>G34*H34*(1-I34)</f>
        <v/>
      </c>
      <c r="L34" s="27">
        <f>K34-G34*J34</f>
        <v/>
      </c>
    </row>
    <row r="35">
      <c r="A35" s="25" t="inlineStr">
        <is>
          <t>ORD-10859</t>
        </is>
      </c>
      <c r="B35" s="26" t="n">
        <v>45668</v>
      </c>
      <c r="C35" s="25">
        <f>MONTH(B35)</f>
        <v/>
      </c>
      <c r="D35" s="25" t="inlineStr">
        <is>
          <t>East</t>
        </is>
      </c>
      <c r="E35" s="25" t="inlineStr">
        <is>
          <t>Office Supplies</t>
        </is>
      </c>
      <c r="F35" s="25" t="inlineStr">
        <is>
          <t>Desk Organizer</t>
        </is>
      </c>
      <c r="G35" s="25" t="n">
        <v>3</v>
      </c>
      <c r="H35" s="27" t="n">
        <v>850</v>
      </c>
      <c r="I35" s="28" t="n">
        <v>0</v>
      </c>
      <c r="J35" s="27" t="n">
        <v>420</v>
      </c>
      <c r="K35" s="27">
        <f>G35*H35*(1-I35)</f>
        <v/>
      </c>
      <c r="L35" s="27">
        <f>K35-G35*J35</f>
        <v/>
      </c>
    </row>
    <row r="36">
      <c r="A36" s="25" t="inlineStr">
        <is>
          <t>ORD-10151</t>
        </is>
      </c>
      <c r="B36" s="26" t="n">
        <v>45669</v>
      </c>
      <c r="C36" s="25">
        <f>MONTH(B36)</f>
        <v/>
      </c>
      <c r="D36" s="25" t="inlineStr">
        <is>
          <t>West</t>
        </is>
      </c>
      <c r="E36" s="25" t="inlineStr">
        <is>
          <t>Office Supplies</t>
        </is>
      </c>
      <c r="F36" s="25" t="inlineStr">
        <is>
          <t>Notebook Set</t>
        </is>
      </c>
      <c r="G36" s="25" t="n">
        <v>4</v>
      </c>
      <c r="H36" s="27" t="n">
        <v>450</v>
      </c>
      <c r="I36" s="28" t="n">
        <v>0</v>
      </c>
      <c r="J36" s="27" t="n">
        <v>190</v>
      </c>
      <c r="K36" s="27">
        <f>G36*H36*(1-I36)</f>
        <v/>
      </c>
      <c r="L36" s="27">
        <f>K36-G36*J36</f>
        <v/>
      </c>
    </row>
    <row r="37">
      <c r="A37" s="25" t="inlineStr">
        <is>
          <t>ORD-10179</t>
        </is>
      </c>
      <c r="B37" s="26" t="n">
        <v>45669</v>
      </c>
      <c r="C37" s="25">
        <f>MONTH(B37)</f>
        <v/>
      </c>
      <c r="D37" s="25" t="inlineStr">
        <is>
          <t>South</t>
        </is>
      </c>
      <c r="E37" s="25" t="inlineStr">
        <is>
          <t>Office Supplies</t>
        </is>
      </c>
      <c r="F37" s="25" t="inlineStr">
        <is>
          <t>Printer Paper Box</t>
        </is>
      </c>
      <c r="G37" s="25" t="n">
        <v>4</v>
      </c>
      <c r="H37" s="27" t="n">
        <v>1600</v>
      </c>
      <c r="I37" s="28" t="n">
        <v>0.1</v>
      </c>
      <c r="J37" s="27" t="n">
        <v>1050</v>
      </c>
      <c r="K37" s="27">
        <f>G37*H37*(1-I37)</f>
        <v/>
      </c>
      <c r="L37" s="27">
        <f>K37-G37*J37</f>
        <v/>
      </c>
    </row>
    <row r="38">
      <c r="A38" s="25" t="inlineStr">
        <is>
          <t>ORD-10442</t>
        </is>
      </c>
      <c r="B38" s="26" t="n">
        <v>45669</v>
      </c>
      <c r="C38" s="25">
        <f>MONTH(B38)</f>
        <v/>
      </c>
      <c r="D38" s="25" t="inlineStr">
        <is>
          <t>South</t>
        </is>
      </c>
      <c r="E38" s="25" t="inlineStr">
        <is>
          <t>Furniture</t>
        </is>
      </c>
      <c r="F38" s="25" t="inlineStr">
        <is>
          <t>Bookshelf</t>
        </is>
      </c>
      <c r="G38" s="25" t="n">
        <v>3</v>
      </c>
      <c r="H38" s="27" t="n">
        <v>6200</v>
      </c>
      <c r="I38" s="28" t="n">
        <v>0.15</v>
      </c>
      <c r="J38" s="27" t="n">
        <v>4100</v>
      </c>
      <c r="K38" s="27">
        <f>G38*H38*(1-I38)</f>
        <v/>
      </c>
      <c r="L38" s="27">
        <f>K38-G38*J38</f>
        <v/>
      </c>
    </row>
    <row r="39">
      <c r="A39" s="25" t="inlineStr">
        <is>
          <t>ORD-11041</t>
        </is>
      </c>
      <c r="B39" s="26" t="n">
        <v>45669</v>
      </c>
      <c r="C39" s="25">
        <f>MONTH(B39)</f>
        <v/>
      </c>
      <c r="D39" s="25" t="inlineStr">
        <is>
          <t>East</t>
        </is>
      </c>
      <c r="E39" s="25" t="inlineStr">
        <is>
          <t>Furniture</t>
        </is>
      </c>
      <c r="F39" s="25" t="inlineStr">
        <is>
          <t>Standing Desk</t>
        </is>
      </c>
      <c r="G39" s="25" t="n">
        <v>2</v>
      </c>
      <c r="H39" s="27" t="n">
        <v>19500</v>
      </c>
      <c r="I39" s="28" t="n">
        <v>0.1</v>
      </c>
      <c r="J39" s="27" t="n">
        <v>13800</v>
      </c>
      <c r="K39" s="27">
        <f>G39*H39*(1-I39)</f>
        <v/>
      </c>
      <c r="L39" s="27">
        <f>K39-G39*J39</f>
        <v/>
      </c>
    </row>
    <row r="40">
      <c r="A40" s="25" t="inlineStr">
        <is>
          <t>ORD-10321</t>
        </is>
      </c>
      <c r="B40" s="26" t="n">
        <v>45670</v>
      </c>
      <c r="C40" s="25">
        <f>MONTH(B40)</f>
        <v/>
      </c>
      <c r="D40" s="25" t="inlineStr">
        <is>
          <t>South</t>
        </is>
      </c>
      <c r="E40" s="25" t="inlineStr">
        <is>
          <t>Technology</t>
        </is>
      </c>
      <c r="F40" s="25" t="inlineStr">
        <is>
          <t>Mechanical Keyboard</t>
        </is>
      </c>
      <c r="G40" s="25" t="n">
        <v>2</v>
      </c>
      <c r="H40" s="27" t="n">
        <v>4200</v>
      </c>
      <c r="I40" s="28" t="n">
        <v>0</v>
      </c>
      <c r="J40" s="27" t="n">
        <v>2500</v>
      </c>
      <c r="K40" s="27">
        <f>G40*H40*(1-I40)</f>
        <v/>
      </c>
      <c r="L40" s="27">
        <f>K40-G40*J40</f>
        <v/>
      </c>
    </row>
    <row r="41">
      <c r="A41" s="25" t="inlineStr">
        <is>
          <t>ORD-11031</t>
        </is>
      </c>
      <c r="B41" s="26" t="n">
        <v>45670</v>
      </c>
      <c r="C41" s="25">
        <f>MONTH(B41)</f>
        <v/>
      </c>
      <c r="D41" s="25" t="inlineStr">
        <is>
          <t>North</t>
        </is>
      </c>
      <c r="E41" s="25" t="inlineStr">
        <is>
          <t>Office Supplies</t>
        </is>
      </c>
      <c r="F41" s="25" t="inlineStr">
        <is>
          <t>Notebook Set</t>
        </is>
      </c>
      <c r="G41" s="25" t="n">
        <v>7</v>
      </c>
      <c r="H41" s="27" t="n">
        <v>450</v>
      </c>
      <c r="I41" s="28" t="n">
        <v>0</v>
      </c>
      <c r="J41" s="27" t="n">
        <v>190</v>
      </c>
      <c r="K41" s="27">
        <f>G41*H41*(1-I41)</f>
        <v/>
      </c>
      <c r="L41" s="27">
        <f>K41-G41*J41</f>
        <v/>
      </c>
    </row>
    <row r="42">
      <c r="A42" s="25" t="inlineStr">
        <is>
          <t>ORD-11181</t>
        </is>
      </c>
      <c r="B42" s="26" t="n">
        <v>45670</v>
      </c>
      <c r="C42" s="25">
        <f>MONTH(B42)</f>
        <v/>
      </c>
      <c r="D42" s="25" t="inlineStr">
        <is>
          <t>South</t>
        </is>
      </c>
      <c r="E42" s="25" t="inlineStr">
        <is>
          <t>Office Supplies</t>
        </is>
      </c>
      <c r="F42" s="25" t="inlineStr">
        <is>
          <t>Notebook Set</t>
        </is>
      </c>
      <c r="G42" s="25" t="n">
        <v>4</v>
      </c>
      <c r="H42" s="27" t="n">
        <v>450</v>
      </c>
      <c r="I42" s="28" t="n">
        <v>0.1</v>
      </c>
      <c r="J42" s="27" t="n">
        <v>190</v>
      </c>
      <c r="K42" s="27">
        <f>G42*H42*(1-I42)</f>
        <v/>
      </c>
      <c r="L42" s="27">
        <f>K42-G42*J42</f>
        <v/>
      </c>
    </row>
    <row r="43">
      <c r="A43" s="25" t="inlineStr">
        <is>
          <t>ORD-10146</t>
        </is>
      </c>
      <c r="B43" s="26" t="n">
        <v>45671</v>
      </c>
      <c r="C43" s="25">
        <f>MONTH(B43)</f>
        <v/>
      </c>
      <c r="D43" s="25" t="inlineStr">
        <is>
          <t>North</t>
        </is>
      </c>
      <c r="E43" s="25" t="inlineStr">
        <is>
          <t>Furniture</t>
        </is>
      </c>
      <c r="F43" s="25" t="inlineStr">
        <is>
          <t>Office Chair</t>
        </is>
      </c>
      <c r="G43" s="25" t="n">
        <v>1</v>
      </c>
      <c r="H43" s="27" t="n">
        <v>8500</v>
      </c>
      <c r="I43" s="28" t="n">
        <v>0.2</v>
      </c>
      <c r="J43" s="27" t="n">
        <v>5600</v>
      </c>
      <c r="K43" s="27">
        <f>G43*H43*(1-I43)</f>
        <v/>
      </c>
      <c r="L43" s="27">
        <f>K43-G43*J43</f>
        <v/>
      </c>
    </row>
    <row r="44">
      <c r="A44" s="25" t="inlineStr">
        <is>
          <t>ORD-10714</t>
        </is>
      </c>
      <c r="B44" s="26" t="n">
        <v>45671</v>
      </c>
      <c r="C44" s="25">
        <f>MONTH(B44)</f>
        <v/>
      </c>
      <c r="D44" s="25" t="inlineStr">
        <is>
          <t>East</t>
        </is>
      </c>
      <c r="E44" s="25" t="inlineStr">
        <is>
          <t>Accessories</t>
        </is>
      </c>
      <c r="F44" s="25" t="inlineStr">
        <is>
          <t>Headphones</t>
        </is>
      </c>
      <c r="G44" s="25" t="n">
        <v>1</v>
      </c>
      <c r="H44" s="27" t="n">
        <v>4500</v>
      </c>
      <c r="I44" s="28" t="n">
        <v>0.2</v>
      </c>
      <c r="J44" s="27" t="n">
        <v>2600</v>
      </c>
      <c r="K44" s="27">
        <f>G44*H44*(1-I44)</f>
        <v/>
      </c>
      <c r="L44" s="27">
        <f>K44-G44*J44</f>
        <v/>
      </c>
    </row>
    <row r="45">
      <c r="A45" s="25" t="inlineStr">
        <is>
          <t>ORD-11000</t>
        </is>
      </c>
      <c r="B45" s="26" t="n">
        <v>45671</v>
      </c>
      <c r="C45" s="25">
        <f>MONTH(B45)</f>
        <v/>
      </c>
      <c r="D45" s="25" t="inlineStr">
        <is>
          <t>North</t>
        </is>
      </c>
      <c r="E45" s="25" t="inlineStr">
        <is>
          <t>Technology</t>
        </is>
      </c>
      <c r="F45" s="25" t="inlineStr">
        <is>
          <t>Mechanical Keyboard</t>
        </is>
      </c>
      <c r="G45" s="25" t="n">
        <v>2</v>
      </c>
      <c r="H45" s="27" t="n">
        <v>4200</v>
      </c>
      <c r="I45" s="28" t="n">
        <v>0</v>
      </c>
      <c r="J45" s="27" t="n">
        <v>2500</v>
      </c>
      <c r="K45" s="27">
        <f>G45*H45*(1-I45)</f>
        <v/>
      </c>
      <c r="L45" s="27">
        <f>K45-G45*J45</f>
        <v/>
      </c>
    </row>
    <row r="46">
      <c r="A46" s="25" t="inlineStr">
        <is>
          <t>ORD-10516</t>
        </is>
      </c>
      <c r="B46" s="26" t="n">
        <v>45672</v>
      </c>
      <c r="C46" s="25">
        <f>MONTH(B46)</f>
        <v/>
      </c>
      <c r="D46" s="25" t="inlineStr">
        <is>
          <t>North</t>
        </is>
      </c>
      <c r="E46" s="25" t="inlineStr">
        <is>
          <t>Office Supplies</t>
        </is>
      </c>
      <c r="F46" s="25" t="inlineStr">
        <is>
          <t>Printer Paper Box</t>
        </is>
      </c>
      <c r="G46" s="25" t="n">
        <v>3</v>
      </c>
      <c r="H46" s="27" t="n">
        <v>1600</v>
      </c>
      <c r="I46" s="28" t="n">
        <v>0.15</v>
      </c>
      <c r="J46" s="27" t="n">
        <v>1050</v>
      </c>
      <c r="K46" s="27">
        <f>G46*H46*(1-I46)</f>
        <v/>
      </c>
      <c r="L46" s="27">
        <f>K46-G46*J46</f>
        <v/>
      </c>
    </row>
    <row r="47">
      <c r="A47" s="25" t="inlineStr">
        <is>
          <t>ORD-10652</t>
        </is>
      </c>
      <c r="B47" s="26" t="n">
        <v>45672</v>
      </c>
      <c r="C47" s="25">
        <f>MONTH(B47)</f>
        <v/>
      </c>
      <c r="D47" s="25" t="inlineStr">
        <is>
          <t>South</t>
        </is>
      </c>
      <c r="E47" s="25" t="inlineStr">
        <is>
          <t>Office Supplies</t>
        </is>
      </c>
      <c r="F47" s="25" t="inlineStr">
        <is>
          <t>Printer Paper Box</t>
        </is>
      </c>
      <c r="G47" s="25" t="n">
        <v>4</v>
      </c>
      <c r="H47" s="27" t="n">
        <v>1600</v>
      </c>
      <c r="I47" s="28" t="n">
        <v>0</v>
      </c>
      <c r="J47" s="27" t="n">
        <v>1050</v>
      </c>
      <c r="K47" s="27">
        <f>G47*H47*(1-I47)</f>
        <v/>
      </c>
      <c r="L47" s="27">
        <f>K47-G47*J47</f>
        <v/>
      </c>
    </row>
    <row r="48">
      <c r="A48" s="25" t="inlineStr">
        <is>
          <t>ORD-10709</t>
        </is>
      </c>
      <c r="B48" s="26" t="n">
        <v>45672</v>
      </c>
      <c r="C48" s="25">
        <f>MONTH(B48)</f>
        <v/>
      </c>
      <c r="D48" s="25" t="inlineStr">
        <is>
          <t>West</t>
        </is>
      </c>
      <c r="E48" s="25" t="inlineStr">
        <is>
          <t>Furniture</t>
        </is>
      </c>
      <c r="F48" s="25" t="inlineStr">
        <is>
          <t>Bookshelf</t>
        </is>
      </c>
      <c r="G48" s="25" t="n">
        <v>3</v>
      </c>
      <c r="H48" s="27" t="n">
        <v>6200</v>
      </c>
      <c r="I48" s="28" t="n">
        <v>0</v>
      </c>
      <c r="J48" s="27" t="n">
        <v>4100</v>
      </c>
      <c r="K48" s="27">
        <f>G48*H48*(1-I48)</f>
        <v/>
      </c>
      <c r="L48" s="27">
        <f>K48-G48*J48</f>
        <v/>
      </c>
    </row>
    <row r="49">
      <c r="A49" s="25" t="inlineStr">
        <is>
          <t>ORD-10934</t>
        </is>
      </c>
      <c r="B49" s="26" t="n">
        <v>45672</v>
      </c>
      <c r="C49" s="25">
        <f>MONTH(B49)</f>
        <v/>
      </c>
      <c r="D49" s="25" t="inlineStr">
        <is>
          <t>East</t>
        </is>
      </c>
      <c r="E49" s="25" t="inlineStr">
        <is>
          <t>Technology</t>
        </is>
      </c>
      <c r="F49" s="25" t="inlineStr">
        <is>
          <t>Wireless Mouse</t>
        </is>
      </c>
      <c r="G49" s="25" t="n">
        <v>1</v>
      </c>
      <c r="H49" s="27" t="n">
        <v>1200</v>
      </c>
      <c r="I49" s="28" t="n">
        <v>0.1</v>
      </c>
      <c r="J49" s="27" t="n">
        <v>650</v>
      </c>
      <c r="K49" s="27">
        <f>G49*H49*(1-I49)</f>
        <v/>
      </c>
      <c r="L49" s="27">
        <f>K49-G49*J49</f>
        <v/>
      </c>
    </row>
    <row r="50">
      <c r="A50" s="25" t="inlineStr">
        <is>
          <t>ORD-11033</t>
        </is>
      </c>
      <c r="B50" s="26" t="n">
        <v>45672</v>
      </c>
      <c r="C50" s="25">
        <f>MONTH(B50)</f>
        <v/>
      </c>
      <c r="D50" s="25" t="inlineStr">
        <is>
          <t>West</t>
        </is>
      </c>
      <c r="E50" s="25" t="inlineStr">
        <is>
          <t>Accessories</t>
        </is>
      </c>
      <c r="F50" s="25" t="inlineStr">
        <is>
          <t>USB-C Hub</t>
        </is>
      </c>
      <c r="G50" s="25" t="n">
        <v>3</v>
      </c>
      <c r="H50" s="27" t="n">
        <v>1800</v>
      </c>
      <c r="I50" s="28" t="n">
        <v>0</v>
      </c>
      <c r="J50" s="27" t="n">
        <v>980</v>
      </c>
      <c r="K50" s="27">
        <f>G50*H50*(1-I50)</f>
        <v/>
      </c>
      <c r="L50" s="27">
        <f>K50-G50*J50</f>
        <v/>
      </c>
    </row>
    <row r="51">
      <c r="A51" s="25" t="inlineStr">
        <is>
          <t>ORD-10421</t>
        </is>
      </c>
      <c r="B51" s="26" t="n">
        <v>45673</v>
      </c>
      <c r="C51" s="25">
        <f>MONTH(B51)</f>
        <v/>
      </c>
      <c r="D51" s="25" t="inlineStr">
        <is>
          <t>West</t>
        </is>
      </c>
      <c r="E51" s="25" t="inlineStr">
        <is>
          <t>Office Supplies</t>
        </is>
      </c>
      <c r="F51" s="25" t="inlineStr">
        <is>
          <t>Printer Paper Box</t>
        </is>
      </c>
      <c r="G51" s="25" t="n">
        <v>1</v>
      </c>
      <c r="H51" s="27" t="n">
        <v>1600</v>
      </c>
      <c r="I51" s="28" t="n">
        <v>0.15</v>
      </c>
      <c r="J51" s="27" t="n">
        <v>1050</v>
      </c>
      <c r="K51" s="27">
        <f>G51*H51*(1-I51)</f>
        <v/>
      </c>
      <c r="L51" s="27">
        <f>K51-G51*J51</f>
        <v/>
      </c>
    </row>
    <row r="52">
      <c r="A52" s="25" t="inlineStr">
        <is>
          <t>ORD-10236</t>
        </is>
      </c>
      <c r="B52" s="26" t="n">
        <v>45674</v>
      </c>
      <c r="C52" s="25">
        <f>MONTH(B52)</f>
        <v/>
      </c>
      <c r="D52" s="25" t="inlineStr">
        <is>
          <t>South</t>
        </is>
      </c>
      <c r="E52" s="25" t="inlineStr">
        <is>
          <t>Accessories</t>
        </is>
      </c>
      <c r="F52" s="25" t="inlineStr">
        <is>
          <t>Headphones</t>
        </is>
      </c>
      <c r="G52" s="25" t="n">
        <v>2</v>
      </c>
      <c r="H52" s="27" t="n">
        <v>4500</v>
      </c>
      <c r="I52" s="28" t="n">
        <v>0</v>
      </c>
      <c r="J52" s="27" t="n">
        <v>2600</v>
      </c>
      <c r="K52" s="27">
        <f>G52*H52*(1-I52)</f>
        <v/>
      </c>
      <c r="L52" s="27">
        <f>K52-G52*J52</f>
        <v/>
      </c>
    </row>
    <row r="53">
      <c r="A53" s="25" t="inlineStr">
        <is>
          <t>ORD-11107</t>
        </is>
      </c>
      <c r="B53" s="26" t="n">
        <v>45674</v>
      </c>
      <c r="C53" s="25">
        <f>MONTH(B53)</f>
        <v/>
      </c>
      <c r="D53" s="25" t="inlineStr">
        <is>
          <t>West</t>
        </is>
      </c>
      <c r="E53" s="25" t="inlineStr">
        <is>
          <t>Accessories</t>
        </is>
      </c>
      <c r="F53" s="25" t="inlineStr">
        <is>
          <t>Headphones</t>
        </is>
      </c>
      <c r="G53" s="25" t="n">
        <v>1</v>
      </c>
      <c r="H53" s="27" t="n">
        <v>4500</v>
      </c>
      <c r="I53" s="28" t="n">
        <v>0.05</v>
      </c>
      <c r="J53" s="27" t="n">
        <v>2600</v>
      </c>
      <c r="K53" s="27">
        <f>G53*H53*(1-I53)</f>
        <v/>
      </c>
      <c r="L53" s="27">
        <f>K53-G53*J53</f>
        <v/>
      </c>
    </row>
    <row r="54">
      <c r="A54" s="25" t="inlineStr">
        <is>
          <t>ORD-10167</t>
        </is>
      </c>
      <c r="B54" s="26" t="n">
        <v>45675</v>
      </c>
      <c r="C54" s="25">
        <f>MONTH(B54)</f>
        <v/>
      </c>
      <c r="D54" s="25" t="inlineStr">
        <is>
          <t>South</t>
        </is>
      </c>
      <c r="E54" s="25" t="inlineStr">
        <is>
          <t>Furniture</t>
        </is>
      </c>
      <c r="F54" s="25" t="inlineStr">
        <is>
          <t>Bookshelf</t>
        </is>
      </c>
      <c r="G54" s="25" t="n">
        <v>2</v>
      </c>
      <c r="H54" s="27" t="n">
        <v>6200</v>
      </c>
      <c r="I54" s="28" t="n">
        <v>0.2</v>
      </c>
      <c r="J54" s="27" t="n">
        <v>4100</v>
      </c>
      <c r="K54" s="27">
        <f>G54*H54*(1-I54)</f>
        <v/>
      </c>
      <c r="L54" s="27">
        <f>K54-G54*J54</f>
        <v/>
      </c>
    </row>
    <row r="55">
      <c r="A55" s="25" t="inlineStr">
        <is>
          <t>ORD-10537</t>
        </is>
      </c>
      <c r="B55" s="26" t="n">
        <v>45675</v>
      </c>
      <c r="C55" s="25">
        <f>MONTH(B55)</f>
        <v/>
      </c>
      <c r="D55" s="25" t="inlineStr">
        <is>
          <t>East</t>
        </is>
      </c>
      <c r="E55" s="25" t="inlineStr">
        <is>
          <t>Furniture</t>
        </is>
      </c>
      <c r="F55" s="25" t="inlineStr">
        <is>
          <t>Office Chair</t>
        </is>
      </c>
      <c r="G55" s="25" t="n">
        <v>1</v>
      </c>
      <c r="H55" s="27" t="n">
        <v>8500</v>
      </c>
      <c r="I55" s="28" t="n">
        <v>0.15</v>
      </c>
      <c r="J55" s="27" t="n">
        <v>5600</v>
      </c>
      <c r="K55" s="27">
        <f>G55*H55*(1-I55)</f>
        <v/>
      </c>
      <c r="L55" s="27">
        <f>K55-G55*J55</f>
        <v/>
      </c>
    </row>
    <row r="56">
      <c r="A56" s="25" t="inlineStr">
        <is>
          <t>ORD-10075</t>
        </is>
      </c>
      <c r="B56" s="26" t="n">
        <v>45676</v>
      </c>
      <c r="C56" s="25">
        <f>MONTH(B56)</f>
        <v/>
      </c>
      <c r="D56" s="25" t="inlineStr">
        <is>
          <t>South</t>
        </is>
      </c>
      <c r="E56" s="25" t="inlineStr">
        <is>
          <t>Technology</t>
        </is>
      </c>
      <c r="F56" s="25" t="inlineStr">
        <is>
          <t>Mechanical Keyboard</t>
        </is>
      </c>
      <c r="G56" s="25" t="n">
        <v>1</v>
      </c>
      <c r="H56" s="27" t="n">
        <v>4200</v>
      </c>
      <c r="I56" s="28" t="n">
        <v>0</v>
      </c>
      <c r="J56" s="27" t="n">
        <v>2500</v>
      </c>
      <c r="K56" s="27">
        <f>G56*H56*(1-I56)</f>
        <v/>
      </c>
      <c r="L56" s="27">
        <f>K56-G56*J56</f>
        <v/>
      </c>
    </row>
    <row r="57">
      <c r="A57" s="25" t="inlineStr">
        <is>
          <t>ORD-10383</t>
        </is>
      </c>
      <c r="B57" s="26" t="n">
        <v>45676</v>
      </c>
      <c r="C57" s="25">
        <f>MONTH(B57)</f>
        <v/>
      </c>
      <c r="D57" s="25" t="inlineStr">
        <is>
          <t>West</t>
        </is>
      </c>
      <c r="E57" s="25" t="inlineStr">
        <is>
          <t>Office Supplies</t>
        </is>
      </c>
      <c r="F57" s="25" t="inlineStr">
        <is>
          <t>Printer Paper Box</t>
        </is>
      </c>
      <c r="G57" s="25" t="n">
        <v>6</v>
      </c>
      <c r="H57" s="27" t="n">
        <v>1600</v>
      </c>
      <c r="I57" s="28" t="n">
        <v>0</v>
      </c>
      <c r="J57" s="27" t="n">
        <v>1050</v>
      </c>
      <c r="K57" s="27">
        <f>G57*H57*(1-I57)</f>
        <v/>
      </c>
      <c r="L57" s="27">
        <f>K57-G57*J57</f>
        <v/>
      </c>
    </row>
    <row r="58">
      <c r="A58" s="25" t="inlineStr">
        <is>
          <t>ORD-10398</t>
        </is>
      </c>
      <c r="B58" s="26" t="n">
        <v>45676</v>
      </c>
      <c r="C58" s="25">
        <f>MONTH(B58)</f>
        <v/>
      </c>
      <c r="D58" s="25" t="inlineStr">
        <is>
          <t>West</t>
        </is>
      </c>
      <c r="E58" s="25" t="inlineStr">
        <is>
          <t>Accessories</t>
        </is>
      </c>
      <c r="F58" s="25" t="inlineStr">
        <is>
          <t>Webcam</t>
        </is>
      </c>
      <c r="G58" s="25" t="n">
        <v>2</v>
      </c>
      <c r="H58" s="27" t="n">
        <v>3200</v>
      </c>
      <c r="I58" s="28" t="n">
        <v>0.2</v>
      </c>
      <c r="J58" s="27" t="n">
        <v>1900</v>
      </c>
      <c r="K58" s="27">
        <f>G58*H58*(1-I58)</f>
        <v/>
      </c>
      <c r="L58" s="27">
        <f>K58-G58*J58</f>
        <v/>
      </c>
    </row>
    <row r="59">
      <c r="A59" s="25" t="inlineStr">
        <is>
          <t>ORD-10030</t>
        </is>
      </c>
      <c r="B59" s="26" t="n">
        <v>45677</v>
      </c>
      <c r="C59" s="25">
        <f>MONTH(B59)</f>
        <v/>
      </c>
      <c r="D59" s="25" t="inlineStr">
        <is>
          <t>West</t>
        </is>
      </c>
      <c r="E59" s="25" t="inlineStr">
        <is>
          <t>Technology</t>
        </is>
      </c>
      <c r="F59" s="25" t="inlineStr">
        <is>
          <t>Mechanical Keyboard</t>
        </is>
      </c>
      <c r="G59" s="25" t="n">
        <v>2</v>
      </c>
      <c r="H59" s="27" t="n">
        <v>4200</v>
      </c>
      <c r="I59" s="28" t="n">
        <v>0.05</v>
      </c>
      <c r="J59" s="27" t="n">
        <v>2500</v>
      </c>
      <c r="K59" s="27">
        <f>G59*H59*(1-I59)</f>
        <v/>
      </c>
      <c r="L59" s="27">
        <f>K59-G59*J59</f>
        <v/>
      </c>
    </row>
    <row r="60">
      <c r="A60" s="25" t="inlineStr">
        <is>
          <t>ORD-10105</t>
        </is>
      </c>
      <c r="B60" s="26" t="n">
        <v>45677</v>
      </c>
      <c r="C60" s="25">
        <f>MONTH(B60)</f>
        <v/>
      </c>
      <c r="D60" s="25" t="inlineStr">
        <is>
          <t>West</t>
        </is>
      </c>
      <c r="E60" s="25" t="inlineStr">
        <is>
          <t>Technology</t>
        </is>
      </c>
      <c r="F60" s="25" t="inlineStr">
        <is>
          <t>Wireless Mouse</t>
        </is>
      </c>
      <c r="G60" s="25" t="n">
        <v>4</v>
      </c>
      <c r="H60" s="27" t="n">
        <v>1200</v>
      </c>
      <c r="I60" s="28" t="n">
        <v>0.1</v>
      </c>
      <c r="J60" s="27" t="n">
        <v>650</v>
      </c>
      <c r="K60" s="27">
        <f>G60*H60*(1-I60)</f>
        <v/>
      </c>
      <c r="L60" s="27">
        <f>K60-G60*J60</f>
        <v/>
      </c>
    </row>
    <row r="61">
      <c r="A61" s="25" t="inlineStr">
        <is>
          <t>ORD-10258</t>
        </is>
      </c>
      <c r="B61" s="26" t="n">
        <v>45677</v>
      </c>
      <c r="C61" s="25">
        <f>MONTH(B61)</f>
        <v/>
      </c>
      <c r="D61" s="25" t="inlineStr">
        <is>
          <t>South</t>
        </is>
      </c>
      <c r="E61" s="25" t="inlineStr">
        <is>
          <t>Furniture</t>
        </is>
      </c>
      <c r="F61" s="25" t="inlineStr">
        <is>
          <t>Office Chair</t>
        </is>
      </c>
      <c r="G61" s="25" t="n">
        <v>2</v>
      </c>
      <c r="H61" s="27" t="n">
        <v>8500</v>
      </c>
      <c r="I61" s="28" t="n">
        <v>0</v>
      </c>
      <c r="J61" s="27" t="n">
        <v>5600</v>
      </c>
      <c r="K61" s="27">
        <f>G61*H61*(1-I61)</f>
        <v/>
      </c>
      <c r="L61" s="27">
        <f>K61-G61*J61</f>
        <v/>
      </c>
    </row>
    <row r="62">
      <c r="A62" s="25" t="inlineStr">
        <is>
          <t>ORD-10440</t>
        </is>
      </c>
      <c r="B62" s="26" t="n">
        <v>45677</v>
      </c>
      <c r="C62" s="25">
        <f>MONTH(B62)</f>
        <v/>
      </c>
      <c r="D62" s="25" t="inlineStr">
        <is>
          <t>East</t>
        </is>
      </c>
      <c r="E62" s="25" t="inlineStr">
        <is>
          <t>Technology</t>
        </is>
      </c>
      <c r="F62" s="25" t="inlineStr">
        <is>
          <t>Wireless Mouse</t>
        </is>
      </c>
      <c r="G62" s="25" t="n">
        <v>4</v>
      </c>
      <c r="H62" s="27" t="n">
        <v>1200</v>
      </c>
      <c r="I62" s="28" t="n">
        <v>0</v>
      </c>
      <c r="J62" s="27" t="n">
        <v>650</v>
      </c>
      <c r="K62" s="27">
        <f>G62*H62*(1-I62)</f>
        <v/>
      </c>
      <c r="L62" s="27">
        <f>K62-G62*J62</f>
        <v/>
      </c>
    </row>
    <row r="63">
      <c r="A63" s="25" t="inlineStr">
        <is>
          <t>ORD-10702</t>
        </is>
      </c>
      <c r="B63" s="26" t="n">
        <v>45677</v>
      </c>
      <c r="C63" s="25">
        <f>MONTH(B63)</f>
        <v/>
      </c>
      <c r="D63" s="25" t="inlineStr">
        <is>
          <t>East</t>
        </is>
      </c>
      <c r="E63" s="25" t="inlineStr">
        <is>
          <t>Office Supplies</t>
        </is>
      </c>
      <c r="F63" s="25" t="inlineStr">
        <is>
          <t>Desk Organizer</t>
        </is>
      </c>
      <c r="G63" s="25" t="n">
        <v>2</v>
      </c>
      <c r="H63" s="27" t="n">
        <v>850</v>
      </c>
      <c r="I63" s="28" t="n">
        <v>0.2</v>
      </c>
      <c r="J63" s="27" t="n">
        <v>420</v>
      </c>
      <c r="K63" s="27">
        <f>G63*H63*(1-I63)</f>
        <v/>
      </c>
      <c r="L63" s="27">
        <f>K63-G63*J63</f>
        <v/>
      </c>
    </row>
    <row r="64">
      <c r="A64" s="25" t="inlineStr">
        <is>
          <t>ORD-10230</t>
        </is>
      </c>
      <c r="B64" s="26" t="n">
        <v>45678</v>
      </c>
      <c r="C64" s="25">
        <f>MONTH(B64)</f>
        <v/>
      </c>
      <c r="D64" s="25" t="inlineStr">
        <is>
          <t>West</t>
        </is>
      </c>
      <c r="E64" s="25" t="inlineStr">
        <is>
          <t>Furniture</t>
        </is>
      </c>
      <c r="F64" s="25" t="inlineStr">
        <is>
          <t>Bookshelf</t>
        </is>
      </c>
      <c r="G64" s="25" t="n">
        <v>1</v>
      </c>
      <c r="H64" s="27" t="n">
        <v>6200</v>
      </c>
      <c r="I64" s="28" t="n">
        <v>0.2</v>
      </c>
      <c r="J64" s="27" t="n">
        <v>4100</v>
      </c>
      <c r="K64" s="27">
        <f>G64*H64*(1-I64)</f>
        <v/>
      </c>
      <c r="L64" s="27">
        <f>K64-G64*J64</f>
        <v/>
      </c>
    </row>
    <row r="65">
      <c r="A65" s="25" t="inlineStr">
        <is>
          <t>ORD-10450</t>
        </is>
      </c>
      <c r="B65" s="26" t="n">
        <v>45678</v>
      </c>
      <c r="C65" s="25">
        <f>MONTH(B65)</f>
        <v/>
      </c>
      <c r="D65" s="25" t="inlineStr">
        <is>
          <t>West</t>
        </is>
      </c>
      <c r="E65" s="25" t="inlineStr">
        <is>
          <t>Furniture</t>
        </is>
      </c>
      <c r="F65" s="25" t="inlineStr">
        <is>
          <t>Standing Desk</t>
        </is>
      </c>
      <c r="G65" s="25" t="n">
        <v>2</v>
      </c>
      <c r="H65" s="27" t="n">
        <v>19500</v>
      </c>
      <c r="I65" s="28" t="n">
        <v>0</v>
      </c>
      <c r="J65" s="27" t="n">
        <v>13800</v>
      </c>
      <c r="K65" s="27">
        <f>G65*H65*(1-I65)</f>
        <v/>
      </c>
      <c r="L65" s="27">
        <f>K65-G65*J65</f>
        <v/>
      </c>
    </row>
    <row r="66">
      <c r="A66" s="25" t="inlineStr">
        <is>
          <t>ORD-10213</t>
        </is>
      </c>
      <c r="B66" s="26" t="n">
        <v>45679</v>
      </c>
      <c r="C66" s="25">
        <f>MONTH(B66)</f>
        <v/>
      </c>
      <c r="D66" s="25" t="inlineStr">
        <is>
          <t>West</t>
        </is>
      </c>
      <c r="E66" s="25" t="inlineStr">
        <is>
          <t>Office Supplies</t>
        </is>
      </c>
      <c r="F66" s="25" t="inlineStr">
        <is>
          <t>Printer Paper Box</t>
        </is>
      </c>
      <c r="G66" s="25" t="n">
        <v>5</v>
      </c>
      <c r="H66" s="27" t="n">
        <v>1600</v>
      </c>
      <c r="I66" s="28" t="n">
        <v>0</v>
      </c>
      <c r="J66" s="27" t="n">
        <v>1050</v>
      </c>
      <c r="K66" s="27">
        <f>G66*H66*(1-I66)</f>
        <v/>
      </c>
      <c r="L66" s="27">
        <f>K66-G66*J66</f>
        <v/>
      </c>
    </row>
    <row r="67">
      <c r="A67" s="25" t="inlineStr">
        <is>
          <t>ORD-11010</t>
        </is>
      </c>
      <c r="B67" s="26" t="n">
        <v>45679</v>
      </c>
      <c r="C67" s="25">
        <f>MONTH(B67)</f>
        <v/>
      </c>
      <c r="D67" s="25" t="inlineStr">
        <is>
          <t>South</t>
        </is>
      </c>
      <c r="E67" s="25" t="inlineStr">
        <is>
          <t>Office Supplies</t>
        </is>
      </c>
      <c r="F67" s="25" t="inlineStr">
        <is>
          <t>Printer Paper Box</t>
        </is>
      </c>
      <c r="G67" s="25" t="n">
        <v>6</v>
      </c>
      <c r="H67" s="27" t="n">
        <v>1600</v>
      </c>
      <c r="I67" s="28" t="n">
        <v>0</v>
      </c>
      <c r="J67" s="27" t="n">
        <v>1050</v>
      </c>
      <c r="K67" s="27">
        <f>G67*H67*(1-I67)</f>
        <v/>
      </c>
      <c r="L67" s="27">
        <f>K67-G67*J67</f>
        <v/>
      </c>
    </row>
    <row r="68">
      <c r="A68" s="25" t="inlineStr">
        <is>
          <t>ORD-10006</t>
        </is>
      </c>
      <c r="B68" s="26" t="n">
        <v>45680</v>
      </c>
      <c r="C68" s="25">
        <f>MONTH(B68)</f>
        <v/>
      </c>
      <c r="D68" s="25" t="inlineStr">
        <is>
          <t>North</t>
        </is>
      </c>
      <c r="E68" s="25" t="inlineStr">
        <is>
          <t>Accessories</t>
        </is>
      </c>
      <c r="F68" s="25" t="inlineStr">
        <is>
          <t>Headphones</t>
        </is>
      </c>
      <c r="G68" s="25" t="n">
        <v>3</v>
      </c>
      <c r="H68" s="27" t="n">
        <v>4500</v>
      </c>
      <c r="I68" s="28" t="n">
        <v>0.15</v>
      </c>
      <c r="J68" s="27" t="n">
        <v>2600</v>
      </c>
      <c r="K68" s="27">
        <f>G68*H68*(1-I68)</f>
        <v/>
      </c>
      <c r="L68" s="27">
        <f>K68-G68*J68</f>
        <v/>
      </c>
    </row>
    <row r="69">
      <c r="A69" s="25" t="inlineStr">
        <is>
          <t>ORD-10353</t>
        </is>
      </c>
      <c r="B69" s="26" t="n">
        <v>45680</v>
      </c>
      <c r="C69" s="25">
        <f>MONTH(B69)</f>
        <v/>
      </c>
      <c r="D69" s="25" t="inlineStr">
        <is>
          <t>South</t>
        </is>
      </c>
      <c r="E69" s="25" t="inlineStr">
        <is>
          <t>Accessories</t>
        </is>
      </c>
      <c r="F69" s="25" t="inlineStr">
        <is>
          <t>Headphones</t>
        </is>
      </c>
      <c r="G69" s="25" t="n">
        <v>3</v>
      </c>
      <c r="H69" s="27" t="n">
        <v>4500</v>
      </c>
      <c r="I69" s="28" t="n">
        <v>0.15</v>
      </c>
      <c r="J69" s="27" t="n">
        <v>2600</v>
      </c>
      <c r="K69" s="27">
        <f>G69*H69*(1-I69)</f>
        <v/>
      </c>
      <c r="L69" s="27">
        <f>K69-G69*J69</f>
        <v/>
      </c>
    </row>
    <row r="70">
      <c r="A70" s="25" t="inlineStr">
        <is>
          <t>ORD-10168</t>
        </is>
      </c>
      <c r="B70" s="26" t="n">
        <v>45681</v>
      </c>
      <c r="C70" s="25">
        <f>MONTH(B70)</f>
        <v/>
      </c>
      <c r="D70" s="25" t="inlineStr">
        <is>
          <t>West</t>
        </is>
      </c>
      <c r="E70" s="25" t="inlineStr">
        <is>
          <t>Furniture</t>
        </is>
      </c>
      <c r="F70" s="25" t="inlineStr">
        <is>
          <t>Office Chair</t>
        </is>
      </c>
      <c r="G70" s="25" t="n">
        <v>2</v>
      </c>
      <c r="H70" s="27" t="n">
        <v>8500</v>
      </c>
      <c r="I70" s="28" t="n">
        <v>0.1</v>
      </c>
      <c r="J70" s="27" t="n">
        <v>5600</v>
      </c>
      <c r="K70" s="27">
        <f>G70*H70*(1-I70)</f>
        <v/>
      </c>
      <c r="L70" s="27">
        <f>K70-G70*J70</f>
        <v/>
      </c>
    </row>
    <row r="71">
      <c r="A71" s="25" t="inlineStr">
        <is>
          <t>ORD-10914</t>
        </is>
      </c>
      <c r="B71" s="26" t="n">
        <v>45681</v>
      </c>
      <c r="C71" s="25">
        <f>MONTH(B71)</f>
        <v/>
      </c>
      <c r="D71" s="25" t="inlineStr">
        <is>
          <t>South</t>
        </is>
      </c>
      <c r="E71" s="25" t="inlineStr">
        <is>
          <t>Accessories</t>
        </is>
      </c>
      <c r="F71" s="25" t="inlineStr">
        <is>
          <t>Headphones</t>
        </is>
      </c>
      <c r="G71" s="25" t="n">
        <v>1</v>
      </c>
      <c r="H71" s="27" t="n">
        <v>4500</v>
      </c>
      <c r="I71" s="28" t="n">
        <v>0</v>
      </c>
      <c r="J71" s="27" t="n">
        <v>2600</v>
      </c>
      <c r="K71" s="27">
        <f>G71*H71*(1-I71)</f>
        <v/>
      </c>
      <c r="L71" s="27">
        <f>K71-G71*J71</f>
        <v/>
      </c>
    </row>
    <row r="72">
      <c r="A72" s="25" t="inlineStr">
        <is>
          <t>ORD-10037</t>
        </is>
      </c>
      <c r="B72" s="26" t="n">
        <v>45682</v>
      </c>
      <c r="C72" s="25">
        <f>MONTH(B72)</f>
        <v/>
      </c>
      <c r="D72" s="25" t="inlineStr">
        <is>
          <t>East</t>
        </is>
      </c>
      <c r="E72" s="25" t="inlineStr">
        <is>
          <t>Accessories</t>
        </is>
      </c>
      <c r="F72" s="25" t="inlineStr">
        <is>
          <t>USB-C Hub</t>
        </is>
      </c>
      <c r="G72" s="25" t="n">
        <v>2</v>
      </c>
      <c r="H72" s="27" t="n">
        <v>1800</v>
      </c>
      <c r="I72" s="28" t="n">
        <v>0</v>
      </c>
      <c r="J72" s="27" t="n">
        <v>980</v>
      </c>
      <c r="K72" s="27">
        <f>G72*H72*(1-I72)</f>
        <v/>
      </c>
      <c r="L72" s="27">
        <f>K72-G72*J72</f>
        <v/>
      </c>
    </row>
    <row r="73">
      <c r="A73" s="25" t="inlineStr">
        <is>
          <t>ORD-10309</t>
        </is>
      </c>
      <c r="B73" s="26" t="n">
        <v>45682</v>
      </c>
      <c r="C73" s="25">
        <f>MONTH(B73)</f>
        <v/>
      </c>
      <c r="D73" s="25" t="inlineStr">
        <is>
          <t>South</t>
        </is>
      </c>
      <c r="E73" s="25" t="inlineStr">
        <is>
          <t>Technology</t>
        </is>
      </c>
      <c r="F73" s="25" t="inlineStr">
        <is>
          <t>Mechanical Keyboard</t>
        </is>
      </c>
      <c r="G73" s="25" t="n">
        <v>2</v>
      </c>
      <c r="H73" s="27" t="n">
        <v>4200</v>
      </c>
      <c r="I73" s="28" t="n">
        <v>0</v>
      </c>
      <c r="J73" s="27" t="n">
        <v>2500</v>
      </c>
      <c r="K73" s="27">
        <f>G73*H73*(1-I73)</f>
        <v/>
      </c>
      <c r="L73" s="27">
        <f>K73-G73*J73</f>
        <v/>
      </c>
    </row>
    <row r="74">
      <c r="A74" s="25" t="inlineStr">
        <is>
          <t>ORD-10022</t>
        </is>
      </c>
      <c r="B74" s="26" t="n">
        <v>45683</v>
      </c>
      <c r="C74" s="25">
        <f>MONTH(B74)</f>
        <v/>
      </c>
      <c r="D74" s="25" t="inlineStr">
        <is>
          <t>South</t>
        </is>
      </c>
      <c r="E74" s="25" t="inlineStr">
        <is>
          <t>Accessories</t>
        </is>
      </c>
      <c r="F74" s="25" t="inlineStr">
        <is>
          <t>Webcam</t>
        </is>
      </c>
      <c r="G74" s="25" t="n">
        <v>2</v>
      </c>
      <c r="H74" s="27" t="n">
        <v>3200</v>
      </c>
      <c r="I74" s="28" t="n">
        <v>0.15</v>
      </c>
      <c r="J74" s="27" t="n">
        <v>1900</v>
      </c>
      <c r="K74" s="27">
        <f>G74*H74*(1-I74)</f>
        <v/>
      </c>
      <c r="L74" s="27">
        <f>K74-G74*J74</f>
        <v/>
      </c>
    </row>
    <row r="75">
      <c r="A75" s="25" t="inlineStr">
        <is>
          <t>ORD-10306</t>
        </is>
      </c>
      <c r="B75" s="26" t="n">
        <v>45683</v>
      </c>
      <c r="C75" s="25">
        <f>MONTH(B75)</f>
        <v/>
      </c>
      <c r="D75" s="25" t="inlineStr">
        <is>
          <t>North</t>
        </is>
      </c>
      <c r="E75" s="25" t="inlineStr">
        <is>
          <t>Accessories</t>
        </is>
      </c>
      <c r="F75" s="25" t="inlineStr">
        <is>
          <t>USB-C Hub</t>
        </is>
      </c>
      <c r="G75" s="25" t="n">
        <v>2</v>
      </c>
      <c r="H75" s="27" t="n">
        <v>1800</v>
      </c>
      <c r="I75" s="28" t="n">
        <v>0.1</v>
      </c>
      <c r="J75" s="27" t="n">
        <v>980</v>
      </c>
      <c r="K75" s="27">
        <f>G75*H75*(1-I75)</f>
        <v/>
      </c>
      <c r="L75" s="27">
        <f>K75-G75*J75</f>
        <v/>
      </c>
    </row>
    <row r="76">
      <c r="A76" s="25" t="inlineStr">
        <is>
          <t>ORD-10429</t>
        </is>
      </c>
      <c r="B76" s="26" t="n">
        <v>45683</v>
      </c>
      <c r="C76" s="25">
        <f>MONTH(B76)</f>
        <v/>
      </c>
      <c r="D76" s="25" t="inlineStr">
        <is>
          <t>South</t>
        </is>
      </c>
      <c r="E76" s="25" t="inlineStr">
        <is>
          <t>Office Supplies</t>
        </is>
      </c>
      <c r="F76" s="25" t="inlineStr">
        <is>
          <t>Notebook Set</t>
        </is>
      </c>
      <c r="G76" s="25" t="n">
        <v>4</v>
      </c>
      <c r="H76" s="27" t="n">
        <v>450</v>
      </c>
      <c r="I76" s="28" t="n">
        <v>0</v>
      </c>
      <c r="J76" s="27" t="n">
        <v>190</v>
      </c>
      <c r="K76" s="27">
        <f>G76*H76*(1-I76)</f>
        <v/>
      </c>
      <c r="L76" s="27">
        <f>K76-G76*J76</f>
        <v/>
      </c>
    </row>
    <row r="77">
      <c r="A77" s="25" t="inlineStr">
        <is>
          <t>ORD-10551</t>
        </is>
      </c>
      <c r="B77" s="26" t="n">
        <v>45683</v>
      </c>
      <c r="C77" s="25">
        <f>MONTH(B77)</f>
        <v/>
      </c>
      <c r="D77" s="25" t="inlineStr">
        <is>
          <t>North</t>
        </is>
      </c>
      <c r="E77" s="25" t="inlineStr">
        <is>
          <t>Accessories</t>
        </is>
      </c>
      <c r="F77" s="25" t="inlineStr">
        <is>
          <t>Headphones</t>
        </is>
      </c>
      <c r="G77" s="25" t="n">
        <v>2</v>
      </c>
      <c r="H77" s="27" t="n">
        <v>4500</v>
      </c>
      <c r="I77" s="28" t="n">
        <v>0</v>
      </c>
      <c r="J77" s="27" t="n">
        <v>2600</v>
      </c>
      <c r="K77" s="27">
        <f>G77*H77*(1-I77)</f>
        <v/>
      </c>
      <c r="L77" s="27">
        <f>K77-G77*J77</f>
        <v/>
      </c>
    </row>
    <row r="78">
      <c r="A78" s="25" t="inlineStr">
        <is>
          <t>ORD-10849</t>
        </is>
      </c>
      <c r="B78" s="26" t="n">
        <v>45683</v>
      </c>
      <c r="C78" s="25">
        <f>MONTH(B78)</f>
        <v/>
      </c>
      <c r="D78" s="25" t="inlineStr">
        <is>
          <t>South</t>
        </is>
      </c>
      <c r="E78" s="25" t="inlineStr">
        <is>
          <t>Furniture</t>
        </is>
      </c>
      <c r="F78" s="25" t="inlineStr">
        <is>
          <t>Bookshelf</t>
        </is>
      </c>
      <c r="G78" s="25" t="n">
        <v>3</v>
      </c>
      <c r="H78" s="27" t="n">
        <v>6200</v>
      </c>
      <c r="I78" s="28" t="n">
        <v>0.1</v>
      </c>
      <c r="J78" s="27" t="n">
        <v>4100</v>
      </c>
      <c r="K78" s="27">
        <f>G78*H78*(1-I78)</f>
        <v/>
      </c>
      <c r="L78" s="27">
        <f>K78-G78*J78</f>
        <v/>
      </c>
    </row>
    <row r="79">
      <c r="A79" s="25" t="inlineStr">
        <is>
          <t>ORD-10085</t>
        </is>
      </c>
      <c r="B79" s="26" t="n">
        <v>45684</v>
      </c>
      <c r="C79" s="25">
        <f>MONTH(B79)</f>
        <v/>
      </c>
      <c r="D79" s="25" t="inlineStr">
        <is>
          <t>North</t>
        </is>
      </c>
      <c r="E79" s="25" t="inlineStr">
        <is>
          <t>Office Supplies</t>
        </is>
      </c>
      <c r="F79" s="25" t="inlineStr">
        <is>
          <t>Printer Paper Box</t>
        </is>
      </c>
      <c r="G79" s="25" t="n">
        <v>3</v>
      </c>
      <c r="H79" s="27" t="n">
        <v>1600</v>
      </c>
      <c r="I79" s="28" t="n">
        <v>0</v>
      </c>
      <c r="J79" s="27" t="n">
        <v>1050</v>
      </c>
      <c r="K79" s="27">
        <f>G79*H79*(1-I79)</f>
        <v/>
      </c>
      <c r="L79" s="27">
        <f>K79-G79*J79</f>
        <v/>
      </c>
    </row>
    <row r="80">
      <c r="A80" s="25" t="inlineStr">
        <is>
          <t>ORD-10229</t>
        </is>
      </c>
      <c r="B80" s="26" t="n">
        <v>45684</v>
      </c>
      <c r="C80" s="25">
        <f>MONTH(B80)</f>
        <v/>
      </c>
      <c r="D80" s="25" t="inlineStr">
        <is>
          <t>West</t>
        </is>
      </c>
      <c r="E80" s="25" t="inlineStr">
        <is>
          <t>Office Supplies</t>
        </is>
      </c>
      <c r="F80" s="25" t="inlineStr">
        <is>
          <t>Notebook Set</t>
        </is>
      </c>
      <c r="G80" s="25" t="n">
        <v>2</v>
      </c>
      <c r="H80" s="27" t="n">
        <v>450</v>
      </c>
      <c r="I80" s="28" t="n">
        <v>0.2</v>
      </c>
      <c r="J80" s="27" t="n">
        <v>190</v>
      </c>
      <c r="K80" s="27">
        <f>G80*H80*(1-I80)</f>
        <v/>
      </c>
      <c r="L80" s="27">
        <f>K80-G80*J80</f>
        <v/>
      </c>
    </row>
    <row r="81">
      <c r="A81" s="25" t="inlineStr">
        <is>
          <t>ORD-10438</t>
        </is>
      </c>
      <c r="B81" s="26" t="n">
        <v>45684</v>
      </c>
      <c r="C81" s="25">
        <f>MONTH(B81)</f>
        <v/>
      </c>
      <c r="D81" s="25" t="inlineStr">
        <is>
          <t>South</t>
        </is>
      </c>
      <c r="E81" s="25" t="inlineStr">
        <is>
          <t>Technology</t>
        </is>
      </c>
      <c r="F81" s="25" t="inlineStr">
        <is>
          <t>Wireless Mouse</t>
        </is>
      </c>
      <c r="G81" s="25" t="n">
        <v>2</v>
      </c>
      <c r="H81" s="27" t="n">
        <v>1200</v>
      </c>
      <c r="I81" s="28" t="n">
        <v>0.05</v>
      </c>
      <c r="J81" s="27" t="n">
        <v>650</v>
      </c>
      <c r="K81" s="27">
        <f>G81*H81*(1-I81)</f>
        <v/>
      </c>
      <c r="L81" s="27">
        <f>K81-G81*J81</f>
        <v/>
      </c>
    </row>
    <row r="82">
      <c r="A82" s="25" t="inlineStr">
        <is>
          <t>ORD-10761</t>
        </is>
      </c>
      <c r="B82" s="26" t="n">
        <v>45684</v>
      </c>
      <c r="C82" s="25">
        <f>MONTH(B82)</f>
        <v/>
      </c>
      <c r="D82" s="25" t="inlineStr">
        <is>
          <t>East</t>
        </is>
      </c>
      <c r="E82" s="25" t="inlineStr">
        <is>
          <t>Accessories</t>
        </is>
      </c>
      <c r="F82" s="25" t="inlineStr">
        <is>
          <t>Headphones</t>
        </is>
      </c>
      <c r="G82" s="25" t="n">
        <v>1</v>
      </c>
      <c r="H82" s="27" t="n">
        <v>4500</v>
      </c>
      <c r="I82" s="28" t="n">
        <v>0.15</v>
      </c>
      <c r="J82" s="27" t="n">
        <v>2600</v>
      </c>
      <c r="K82" s="27">
        <f>G82*H82*(1-I82)</f>
        <v/>
      </c>
      <c r="L82" s="27">
        <f>K82-G82*J82</f>
        <v/>
      </c>
    </row>
    <row r="83">
      <c r="A83" s="25" t="inlineStr">
        <is>
          <t>ORD-10265</t>
        </is>
      </c>
      <c r="B83" s="26" t="n">
        <v>45685</v>
      </c>
      <c r="C83" s="25">
        <f>MONTH(B83)</f>
        <v/>
      </c>
      <c r="D83" s="25" t="inlineStr">
        <is>
          <t>North</t>
        </is>
      </c>
      <c r="E83" s="25" t="inlineStr">
        <is>
          <t>Accessories</t>
        </is>
      </c>
      <c r="F83" s="25" t="inlineStr">
        <is>
          <t>Webcam</t>
        </is>
      </c>
      <c r="G83" s="25" t="n">
        <v>2</v>
      </c>
      <c r="H83" s="27" t="n">
        <v>3200</v>
      </c>
      <c r="I83" s="28" t="n">
        <v>0</v>
      </c>
      <c r="J83" s="27" t="n">
        <v>1900</v>
      </c>
      <c r="K83" s="27">
        <f>G83*H83*(1-I83)</f>
        <v/>
      </c>
      <c r="L83" s="27">
        <f>K83-G83*J83</f>
        <v/>
      </c>
    </row>
    <row r="84">
      <c r="A84" s="25" t="inlineStr">
        <is>
          <t>ORD-10752</t>
        </is>
      </c>
      <c r="B84" s="26" t="n">
        <v>45685</v>
      </c>
      <c r="C84" s="25">
        <f>MONTH(B84)</f>
        <v/>
      </c>
      <c r="D84" s="25" t="inlineStr">
        <is>
          <t>South</t>
        </is>
      </c>
      <c r="E84" s="25" t="inlineStr">
        <is>
          <t>Technology</t>
        </is>
      </c>
      <c r="F84" s="25" t="inlineStr">
        <is>
          <t>Monitor 24"</t>
        </is>
      </c>
      <c r="G84" s="25" t="n">
        <v>1</v>
      </c>
      <c r="H84" s="27" t="n">
        <v>11500</v>
      </c>
      <c r="I84" s="28" t="n">
        <v>0.2</v>
      </c>
      <c r="J84" s="27" t="n">
        <v>8200</v>
      </c>
      <c r="K84" s="27">
        <f>G84*H84*(1-I84)</f>
        <v/>
      </c>
      <c r="L84" s="27">
        <f>K84-G84*J84</f>
        <v/>
      </c>
    </row>
    <row r="85">
      <c r="A85" s="25" t="inlineStr">
        <is>
          <t>ORD-10858</t>
        </is>
      </c>
      <c r="B85" s="26" t="n">
        <v>45685</v>
      </c>
      <c r="C85" s="25">
        <f>MONTH(B85)</f>
        <v/>
      </c>
      <c r="D85" s="25" t="inlineStr">
        <is>
          <t>North</t>
        </is>
      </c>
      <c r="E85" s="25" t="inlineStr">
        <is>
          <t>Accessories</t>
        </is>
      </c>
      <c r="F85" s="25" t="inlineStr">
        <is>
          <t>Headphones</t>
        </is>
      </c>
      <c r="G85" s="25" t="n">
        <v>1</v>
      </c>
      <c r="H85" s="27" t="n">
        <v>4500</v>
      </c>
      <c r="I85" s="28" t="n">
        <v>0</v>
      </c>
      <c r="J85" s="27" t="n">
        <v>2600</v>
      </c>
      <c r="K85" s="27">
        <f>G85*H85*(1-I85)</f>
        <v/>
      </c>
      <c r="L85" s="27">
        <f>K85-G85*J85</f>
        <v/>
      </c>
    </row>
    <row r="86">
      <c r="A86" s="25" t="inlineStr">
        <is>
          <t>ORD-10971</t>
        </is>
      </c>
      <c r="B86" s="26" t="n">
        <v>45685</v>
      </c>
      <c r="C86" s="25">
        <f>MONTH(B86)</f>
        <v/>
      </c>
      <c r="D86" s="25" t="inlineStr">
        <is>
          <t>West</t>
        </is>
      </c>
      <c r="E86" s="25" t="inlineStr">
        <is>
          <t>Technology</t>
        </is>
      </c>
      <c r="F86" s="25" t="inlineStr">
        <is>
          <t>Mechanical Keyboard</t>
        </is>
      </c>
      <c r="G86" s="25" t="n">
        <v>3</v>
      </c>
      <c r="H86" s="27" t="n">
        <v>4200</v>
      </c>
      <c r="I86" s="28" t="n">
        <v>0</v>
      </c>
      <c r="J86" s="27" t="n">
        <v>2500</v>
      </c>
      <c r="K86" s="27">
        <f>G86*H86*(1-I86)</f>
        <v/>
      </c>
      <c r="L86" s="27">
        <f>K86-G86*J86</f>
        <v/>
      </c>
    </row>
    <row r="87">
      <c r="A87" s="25" t="inlineStr">
        <is>
          <t>ORD-10274</t>
        </is>
      </c>
      <c r="B87" s="26" t="n">
        <v>45690</v>
      </c>
      <c r="C87" s="25">
        <f>MONTH(B87)</f>
        <v/>
      </c>
      <c r="D87" s="25" t="inlineStr">
        <is>
          <t>West</t>
        </is>
      </c>
      <c r="E87" s="25" t="inlineStr">
        <is>
          <t>Office Supplies</t>
        </is>
      </c>
      <c r="F87" s="25" t="inlineStr">
        <is>
          <t>Desk Organizer</t>
        </is>
      </c>
      <c r="G87" s="25" t="n">
        <v>5</v>
      </c>
      <c r="H87" s="27" t="n">
        <v>850</v>
      </c>
      <c r="I87" s="28" t="n">
        <v>0.1</v>
      </c>
      <c r="J87" s="27" t="n">
        <v>420</v>
      </c>
      <c r="K87" s="27">
        <f>G87*H87*(1-I87)</f>
        <v/>
      </c>
      <c r="L87" s="27">
        <f>K87-G87*J87</f>
        <v/>
      </c>
    </row>
    <row r="88">
      <c r="A88" s="25" t="inlineStr">
        <is>
          <t>ORD-10882</t>
        </is>
      </c>
      <c r="B88" s="26" t="n">
        <v>45690</v>
      </c>
      <c r="C88" s="25">
        <f>MONTH(B88)</f>
        <v/>
      </c>
      <c r="D88" s="25" t="inlineStr">
        <is>
          <t>West</t>
        </is>
      </c>
      <c r="E88" s="25" t="inlineStr">
        <is>
          <t>Office Supplies</t>
        </is>
      </c>
      <c r="F88" s="25" t="inlineStr">
        <is>
          <t>Notebook Set</t>
        </is>
      </c>
      <c r="G88" s="25" t="n">
        <v>7</v>
      </c>
      <c r="H88" s="27" t="n">
        <v>450</v>
      </c>
      <c r="I88" s="28" t="n">
        <v>0.2</v>
      </c>
      <c r="J88" s="27" t="n">
        <v>190</v>
      </c>
      <c r="K88" s="27">
        <f>G88*H88*(1-I88)</f>
        <v/>
      </c>
      <c r="L88" s="27">
        <f>K88-G88*J88</f>
        <v/>
      </c>
    </row>
    <row r="89">
      <c r="A89" s="25" t="inlineStr">
        <is>
          <t>ORD-11069</t>
        </is>
      </c>
      <c r="B89" s="26" t="n">
        <v>45690</v>
      </c>
      <c r="C89" s="25">
        <f>MONTH(B89)</f>
        <v/>
      </c>
      <c r="D89" s="25" t="inlineStr">
        <is>
          <t>South</t>
        </is>
      </c>
      <c r="E89" s="25" t="inlineStr">
        <is>
          <t>Office Supplies</t>
        </is>
      </c>
      <c r="F89" s="25" t="inlineStr">
        <is>
          <t>Desk Organizer</t>
        </is>
      </c>
      <c r="G89" s="25" t="n">
        <v>4</v>
      </c>
      <c r="H89" s="27" t="n">
        <v>850</v>
      </c>
      <c r="I89" s="28" t="n">
        <v>0.15</v>
      </c>
      <c r="J89" s="27" t="n">
        <v>420</v>
      </c>
      <c r="K89" s="27">
        <f>G89*H89*(1-I89)</f>
        <v/>
      </c>
      <c r="L89" s="27">
        <f>K89-G89*J89</f>
        <v/>
      </c>
    </row>
    <row r="90">
      <c r="A90" s="25" t="inlineStr">
        <is>
          <t>ORD-10376</t>
        </is>
      </c>
      <c r="B90" s="26" t="n">
        <v>45691</v>
      </c>
      <c r="C90" s="25">
        <f>MONTH(B90)</f>
        <v/>
      </c>
      <c r="D90" s="25" t="inlineStr">
        <is>
          <t>North</t>
        </is>
      </c>
      <c r="E90" s="25" t="inlineStr">
        <is>
          <t>Accessories</t>
        </is>
      </c>
      <c r="F90" s="25" t="inlineStr">
        <is>
          <t>Headphones</t>
        </is>
      </c>
      <c r="G90" s="25" t="n">
        <v>3</v>
      </c>
      <c r="H90" s="27" t="n">
        <v>4500</v>
      </c>
      <c r="I90" s="28" t="n">
        <v>0</v>
      </c>
      <c r="J90" s="27" t="n">
        <v>2600</v>
      </c>
      <c r="K90" s="27">
        <f>G90*H90*(1-I90)</f>
        <v/>
      </c>
      <c r="L90" s="27">
        <f>K90-G90*J90</f>
        <v/>
      </c>
    </row>
    <row r="91">
      <c r="A91" s="25" t="inlineStr">
        <is>
          <t>ORD-11168</t>
        </is>
      </c>
      <c r="B91" s="26" t="n">
        <v>45691</v>
      </c>
      <c r="C91" s="25">
        <f>MONTH(B91)</f>
        <v/>
      </c>
      <c r="D91" s="25" t="inlineStr">
        <is>
          <t>South</t>
        </is>
      </c>
      <c r="E91" s="25" t="inlineStr">
        <is>
          <t>Technology</t>
        </is>
      </c>
      <c r="F91" s="25" t="inlineStr">
        <is>
          <t>Monitor 24"</t>
        </is>
      </c>
      <c r="G91" s="25" t="n">
        <v>1</v>
      </c>
      <c r="H91" s="27" t="n">
        <v>11500</v>
      </c>
      <c r="I91" s="28" t="n">
        <v>0.15</v>
      </c>
      <c r="J91" s="27" t="n">
        <v>8200</v>
      </c>
      <c r="K91" s="27">
        <f>G91*H91*(1-I91)</f>
        <v/>
      </c>
      <c r="L91" s="27">
        <f>K91-G91*J91</f>
        <v/>
      </c>
    </row>
    <row r="92">
      <c r="A92" s="25" t="inlineStr">
        <is>
          <t>ORD-10035</t>
        </is>
      </c>
      <c r="B92" s="26" t="n">
        <v>45692</v>
      </c>
      <c r="C92" s="25">
        <f>MONTH(B92)</f>
        <v/>
      </c>
      <c r="D92" s="25" t="inlineStr">
        <is>
          <t>West</t>
        </is>
      </c>
      <c r="E92" s="25" t="inlineStr">
        <is>
          <t>Accessories</t>
        </is>
      </c>
      <c r="F92" s="25" t="inlineStr">
        <is>
          <t>Headphones</t>
        </is>
      </c>
      <c r="G92" s="25" t="n">
        <v>3</v>
      </c>
      <c r="H92" s="27" t="n">
        <v>4500</v>
      </c>
      <c r="I92" s="28" t="n">
        <v>0.05</v>
      </c>
      <c r="J92" s="27" t="n">
        <v>2600</v>
      </c>
      <c r="K92" s="27">
        <f>G92*H92*(1-I92)</f>
        <v/>
      </c>
      <c r="L92" s="27">
        <f>K92-G92*J92</f>
        <v/>
      </c>
    </row>
    <row r="93">
      <c r="A93" s="25" t="inlineStr">
        <is>
          <t>ORD-10348</t>
        </is>
      </c>
      <c r="B93" s="26" t="n">
        <v>45692</v>
      </c>
      <c r="C93" s="25">
        <f>MONTH(B93)</f>
        <v/>
      </c>
      <c r="D93" s="25" t="inlineStr">
        <is>
          <t>West</t>
        </is>
      </c>
      <c r="E93" s="25" t="inlineStr">
        <is>
          <t>Office Supplies</t>
        </is>
      </c>
      <c r="F93" s="25" t="inlineStr">
        <is>
          <t>Printer Paper Box</t>
        </is>
      </c>
      <c r="G93" s="25" t="n">
        <v>1</v>
      </c>
      <c r="H93" s="27" t="n">
        <v>1600</v>
      </c>
      <c r="I93" s="28" t="n">
        <v>0.2</v>
      </c>
      <c r="J93" s="27" t="n">
        <v>1050</v>
      </c>
      <c r="K93" s="27">
        <f>G93*H93*(1-I93)</f>
        <v/>
      </c>
      <c r="L93" s="27">
        <f>K93-G93*J93</f>
        <v/>
      </c>
    </row>
    <row r="94">
      <c r="A94" s="25" t="inlineStr">
        <is>
          <t>ORD-10567</t>
        </is>
      </c>
      <c r="B94" s="26" t="n">
        <v>45692</v>
      </c>
      <c r="C94" s="25">
        <f>MONTH(B94)</f>
        <v/>
      </c>
      <c r="D94" s="25" t="inlineStr">
        <is>
          <t>East</t>
        </is>
      </c>
      <c r="E94" s="25" t="inlineStr">
        <is>
          <t>Technology</t>
        </is>
      </c>
      <c r="F94" s="25" t="inlineStr">
        <is>
          <t>Wireless Mouse</t>
        </is>
      </c>
      <c r="G94" s="25" t="n">
        <v>1</v>
      </c>
      <c r="H94" s="27" t="n">
        <v>1200</v>
      </c>
      <c r="I94" s="28" t="n">
        <v>0</v>
      </c>
      <c r="J94" s="27" t="n">
        <v>650</v>
      </c>
      <c r="K94" s="27">
        <f>G94*H94*(1-I94)</f>
        <v/>
      </c>
      <c r="L94" s="27">
        <f>K94-G94*J94</f>
        <v/>
      </c>
    </row>
    <row r="95">
      <c r="A95" s="25" t="inlineStr">
        <is>
          <t>ORD-10835</t>
        </is>
      </c>
      <c r="B95" s="26" t="n">
        <v>45692</v>
      </c>
      <c r="C95" s="25">
        <f>MONTH(B95)</f>
        <v/>
      </c>
      <c r="D95" s="25" t="inlineStr">
        <is>
          <t>North</t>
        </is>
      </c>
      <c r="E95" s="25" t="inlineStr">
        <is>
          <t>Accessories</t>
        </is>
      </c>
      <c r="F95" s="25" t="inlineStr">
        <is>
          <t>USB-C Hub</t>
        </is>
      </c>
      <c r="G95" s="25" t="n">
        <v>2</v>
      </c>
      <c r="H95" s="27" t="n">
        <v>1800</v>
      </c>
      <c r="I95" s="28" t="n">
        <v>0</v>
      </c>
      <c r="J95" s="27" t="n">
        <v>980</v>
      </c>
      <c r="K95" s="27">
        <f>G95*H95*(1-I95)</f>
        <v/>
      </c>
      <c r="L95" s="27">
        <f>K95-G95*J95</f>
        <v/>
      </c>
    </row>
    <row r="96">
      <c r="A96" s="25" t="inlineStr">
        <is>
          <t>ORD-10187</t>
        </is>
      </c>
      <c r="B96" s="26" t="n">
        <v>45693</v>
      </c>
      <c r="C96" s="25">
        <f>MONTH(B96)</f>
        <v/>
      </c>
      <c r="D96" s="25" t="inlineStr">
        <is>
          <t>West</t>
        </is>
      </c>
      <c r="E96" s="25" t="inlineStr">
        <is>
          <t>Office Supplies</t>
        </is>
      </c>
      <c r="F96" s="25" t="inlineStr">
        <is>
          <t>Desk Organizer</t>
        </is>
      </c>
      <c r="G96" s="25" t="n">
        <v>3</v>
      </c>
      <c r="H96" s="27" t="n">
        <v>850</v>
      </c>
      <c r="I96" s="28" t="n">
        <v>0</v>
      </c>
      <c r="J96" s="27" t="n">
        <v>420</v>
      </c>
      <c r="K96" s="27">
        <f>G96*H96*(1-I96)</f>
        <v/>
      </c>
      <c r="L96" s="27">
        <f>K96-G96*J96</f>
        <v/>
      </c>
    </row>
    <row r="97">
      <c r="A97" s="25" t="inlineStr">
        <is>
          <t>ORD-10445</t>
        </is>
      </c>
      <c r="B97" s="26" t="n">
        <v>45693</v>
      </c>
      <c r="C97" s="25">
        <f>MONTH(B97)</f>
        <v/>
      </c>
      <c r="D97" s="25" t="inlineStr">
        <is>
          <t>North</t>
        </is>
      </c>
      <c r="E97" s="25" t="inlineStr">
        <is>
          <t>Technology</t>
        </is>
      </c>
      <c r="F97" s="25" t="inlineStr">
        <is>
          <t>Wireless Mouse</t>
        </is>
      </c>
      <c r="G97" s="25" t="n">
        <v>5</v>
      </c>
      <c r="H97" s="27" t="n">
        <v>1200</v>
      </c>
      <c r="I97" s="28" t="n">
        <v>0.2</v>
      </c>
      <c r="J97" s="27" t="n">
        <v>650</v>
      </c>
      <c r="K97" s="27">
        <f>G97*H97*(1-I97)</f>
        <v/>
      </c>
      <c r="L97" s="27">
        <f>K97-G97*J97</f>
        <v/>
      </c>
    </row>
    <row r="98">
      <c r="A98" s="25" t="inlineStr">
        <is>
          <t>ORD-10593</t>
        </is>
      </c>
      <c r="B98" s="26" t="n">
        <v>45693</v>
      </c>
      <c r="C98" s="25">
        <f>MONTH(B98)</f>
        <v/>
      </c>
      <c r="D98" s="25" t="inlineStr">
        <is>
          <t>South</t>
        </is>
      </c>
      <c r="E98" s="25" t="inlineStr">
        <is>
          <t>Accessories</t>
        </is>
      </c>
      <c r="F98" s="25" t="inlineStr">
        <is>
          <t>Headphones</t>
        </is>
      </c>
      <c r="G98" s="25" t="n">
        <v>3</v>
      </c>
      <c r="H98" s="27" t="n">
        <v>4500</v>
      </c>
      <c r="I98" s="28" t="n">
        <v>0</v>
      </c>
      <c r="J98" s="27" t="n">
        <v>2600</v>
      </c>
      <c r="K98" s="27">
        <f>G98*H98*(1-I98)</f>
        <v/>
      </c>
      <c r="L98" s="27">
        <f>K98-G98*J98</f>
        <v/>
      </c>
    </row>
    <row r="99">
      <c r="A99" s="25" t="inlineStr">
        <is>
          <t>ORD-10656</t>
        </is>
      </c>
      <c r="B99" s="26" t="n">
        <v>45693</v>
      </c>
      <c r="C99" s="25">
        <f>MONTH(B99)</f>
        <v/>
      </c>
      <c r="D99" s="25" t="inlineStr">
        <is>
          <t>West</t>
        </is>
      </c>
      <c r="E99" s="25" t="inlineStr">
        <is>
          <t>Accessories</t>
        </is>
      </c>
      <c r="F99" s="25" t="inlineStr">
        <is>
          <t>Webcam</t>
        </is>
      </c>
      <c r="G99" s="25" t="n">
        <v>2</v>
      </c>
      <c r="H99" s="27" t="n">
        <v>3200</v>
      </c>
      <c r="I99" s="28" t="n">
        <v>0</v>
      </c>
      <c r="J99" s="27" t="n">
        <v>1900</v>
      </c>
      <c r="K99" s="27">
        <f>G99*H99*(1-I99)</f>
        <v/>
      </c>
      <c r="L99" s="27">
        <f>K99-G99*J99</f>
        <v/>
      </c>
    </row>
    <row r="100">
      <c r="A100" s="25" t="inlineStr">
        <is>
          <t>ORD-10670</t>
        </is>
      </c>
      <c r="B100" s="26" t="n">
        <v>45693</v>
      </c>
      <c r="C100" s="25">
        <f>MONTH(B100)</f>
        <v/>
      </c>
      <c r="D100" s="25" t="inlineStr">
        <is>
          <t>West</t>
        </is>
      </c>
      <c r="E100" s="25" t="inlineStr">
        <is>
          <t>Furniture</t>
        </is>
      </c>
      <c r="F100" s="25" t="inlineStr">
        <is>
          <t>Office Chair</t>
        </is>
      </c>
      <c r="G100" s="25" t="n">
        <v>2</v>
      </c>
      <c r="H100" s="27" t="n">
        <v>8500</v>
      </c>
      <c r="I100" s="28" t="n">
        <v>0</v>
      </c>
      <c r="J100" s="27" t="n">
        <v>5600</v>
      </c>
      <c r="K100" s="27">
        <f>G100*H100*(1-I100)</f>
        <v/>
      </c>
      <c r="L100" s="27">
        <f>K100-G100*J100</f>
        <v/>
      </c>
    </row>
    <row r="101">
      <c r="A101" s="25" t="inlineStr">
        <is>
          <t>ORD-10186</t>
        </is>
      </c>
      <c r="B101" s="26" t="n">
        <v>45694</v>
      </c>
      <c r="C101" s="25">
        <f>MONTH(B101)</f>
        <v/>
      </c>
      <c r="D101" s="25" t="inlineStr">
        <is>
          <t>East</t>
        </is>
      </c>
      <c r="E101" s="25" t="inlineStr">
        <is>
          <t>Furniture</t>
        </is>
      </c>
      <c r="F101" s="25" t="inlineStr">
        <is>
          <t>Office Chair</t>
        </is>
      </c>
      <c r="G101" s="25" t="n">
        <v>2</v>
      </c>
      <c r="H101" s="27" t="n">
        <v>8500</v>
      </c>
      <c r="I101" s="28" t="n">
        <v>0</v>
      </c>
      <c r="J101" s="27" t="n">
        <v>5600</v>
      </c>
      <c r="K101" s="27">
        <f>G101*H101*(1-I101)</f>
        <v/>
      </c>
      <c r="L101" s="27">
        <f>K101-G101*J101</f>
        <v/>
      </c>
    </row>
    <row r="102">
      <c r="A102" s="25" t="inlineStr">
        <is>
          <t>ORD-10426</t>
        </is>
      </c>
      <c r="B102" s="26" t="n">
        <v>45694</v>
      </c>
      <c r="C102" s="25">
        <f>MONTH(B102)</f>
        <v/>
      </c>
      <c r="D102" s="25" t="inlineStr">
        <is>
          <t>East</t>
        </is>
      </c>
      <c r="E102" s="25" t="inlineStr">
        <is>
          <t>Office Supplies</t>
        </is>
      </c>
      <c r="F102" s="25" t="inlineStr">
        <is>
          <t>Desk Organizer</t>
        </is>
      </c>
      <c r="G102" s="25" t="n">
        <v>4</v>
      </c>
      <c r="H102" s="27" t="n">
        <v>850</v>
      </c>
      <c r="I102" s="28" t="n">
        <v>0.2</v>
      </c>
      <c r="J102" s="27" t="n">
        <v>420</v>
      </c>
      <c r="K102" s="27">
        <f>G102*H102*(1-I102)</f>
        <v/>
      </c>
      <c r="L102" s="27">
        <f>K102-G102*J102</f>
        <v/>
      </c>
    </row>
    <row r="103">
      <c r="A103" s="25" t="inlineStr">
        <is>
          <t>ORD-11120</t>
        </is>
      </c>
      <c r="B103" s="26" t="n">
        <v>45694</v>
      </c>
      <c r="C103" s="25">
        <f>MONTH(B103)</f>
        <v/>
      </c>
      <c r="D103" s="25" t="inlineStr">
        <is>
          <t>West</t>
        </is>
      </c>
      <c r="E103" s="25" t="inlineStr">
        <is>
          <t>Technology</t>
        </is>
      </c>
      <c r="F103" s="25" t="inlineStr">
        <is>
          <t>Wireless Mouse</t>
        </is>
      </c>
      <c r="G103" s="25" t="n">
        <v>5</v>
      </c>
      <c r="H103" s="27" t="n">
        <v>1200</v>
      </c>
      <c r="I103" s="28" t="n">
        <v>0</v>
      </c>
      <c r="J103" s="27" t="n">
        <v>650</v>
      </c>
      <c r="K103" s="27">
        <f>G103*H103*(1-I103)</f>
        <v/>
      </c>
      <c r="L103" s="27">
        <f>K103-G103*J103</f>
        <v/>
      </c>
    </row>
    <row r="104">
      <c r="A104" s="25" t="inlineStr">
        <is>
          <t>ORD-11154</t>
        </is>
      </c>
      <c r="B104" s="26" t="n">
        <v>45694</v>
      </c>
      <c r="C104" s="25">
        <f>MONTH(B104)</f>
        <v/>
      </c>
      <c r="D104" s="25" t="inlineStr">
        <is>
          <t>East</t>
        </is>
      </c>
      <c r="E104" s="25" t="inlineStr">
        <is>
          <t>Office Supplies</t>
        </is>
      </c>
      <c r="F104" s="25" t="inlineStr">
        <is>
          <t>Printer Paper Box</t>
        </is>
      </c>
      <c r="G104" s="25" t="n">
        <v>2</v>
      </c>
      <c r="H104" s="27" t="n">
        <v>1600</v>
      </c>
      <c r="I104" s="28" t="n">
        <v>0.1</v>
      </c>
      <c r="J104" s="27" t="n">
        <v>1050</v>
      </c>
      <c r="K104" s="27">
        <f>G104*H104*(1-I104)</f>
        <v/>
      </c>
      <c r="L104" s="27">
        <f>K104-G104*J104</f>
        <v/>
      </c>
    </row>
    <row r="105">
      <c r="A105" s="25" t="inlineStr">
        <is>
          <t>ORD-10017</t>
        </is>
      </c>
      <c r="B105" s="26" t="n">
        <v>45695</v>
      </c>
      <c r="C105" s="25">
        <f>MONTH(B105)</f>
        <v/>
      </c>
      <c r="D105" s="25" t="inlineStr">
        <is>
          <t>East</t>
        </is>
      </c>
      <c r="E105" s="25" t="inlineStr">
        <is>
          <t>Accessories</t>
        </is>
      </c>
      <c r="F105" s="25" t="inlineStr">
        <is>
          <t>Headphones</t>
        </is>
      </c>
      <c r="G105" s="25" t="n">
        <v>3</v>
      </c>
      <c r="H105" s="27" t="n">
        <v>4500</v>
      </c>
      <c r="I105" s="28" t="n">
        <v>0.05</v>
      </c>
      <c r="J105" s="27" t="n">
        <v>2600</v>
      </c>
      <c r="K105" s="27">
        <f>G105*H105*(1-I105)</f>
        <v/>
      </c>
      <c r="L105" s="27">
        <f>K105-G105*J105</f>
        <v/>
      </c>
    </row>
    <row r="106">
      <c r="A106" s="25" t="inlineStr">
        <is>
          <t>ORD-10112</t>
        </is>
      </c>
      <c r="B106" s="26" t="n">
        <v>45695</v>
      </c>
      <c r="C106" s="25">
        <f>MONTH(B106)</f>
        <v/>
      </c>
      <c r="D106" s="25" t="inlineStr">
        <is>
          <t>East</t>
        </is>
      </c>
      <c r="E106" s="25" t="inlineStr">
        <is>
          <t>Technology</t>
        </is>
      </c>
      <c r="F106" s="25" t="inlineStr">
        <is>
          <t>Monitor 24"</t>
        </is>
      </c>
      <c r="G106" s="25" t="n">
        <v>2</v>
      </c>
      <c r="H106" s="27" t="n">
        <v>11500</v>
      </c>
      <c r="I106" s="28" t="n">
        <v>0.15</v>
      </c>
      <c r="J106" s="27" t="n">
        <v>8200</v>
      </c>
      <c r="K106" s="27">
        <f>G106*H106*(1-I106)</f>
        <v/>
      </c>
      <c r="L106" s="27">
        <f>K106-G106*J106</f>
        <v/>
      </c>
    </row>
    <row r="107">
      <c r="A107" s="25" t="inlineStr">
        <is>
          <t>ORD-10839</t>
        </is>
      </c>
      <c r="B107" s="26" t="n">
        <v>45695</v>
      </c>
      <c r="C107" s="25">
        <f>MONTH(B107)</f>
        <v/>
      </c>
      <c r="D107" s="25" t="inlineStr">
        <is>
          <t>North</t>
        </is>
      </c>
      <c r="E107" s="25" t="inlineStr">
        <is>
          <t>Office Supplies</t>
        </is>
      </c>
      <c r="F107" s="25" t="inlineStr">
        <is>
          <t>Notebook Set</t>
        </is>
      </c>
      <c r="G107" s="25" t="n">
        <v>8</v>
      </c>
      <c r="H107" s="27" t="n">
        <v>450</v>
      </c>
      <c r="I107" s="28" t="n">
        <v>0</v>
      </c>
      <c r="J107" s="27" t="n">
        <v>190</v>
      </c>
      <c r="K107" s="27">
        <f>G107*H107*(1-I107)</f>
        <v/>
      </c>
      <c r="L107" s="27">
        <f>K107-G107*J107</f>
        <v/>
      </c>
    </row>
    <row r="108">
      <c r="A108" s="25" t="inlineStr">
        <is>
          <t>ORD-11044</t>
        </is>
      </c>
      <c r="B108" s="26" t="n">
        <v>45695</v>
      </c>
      <c r="C108" s="25">
        <f>MONTH(B108)</f>
        <v/>
      </c>
      <c r="D108" s="25" t="inlineStr">
        <is>
          <t>West</t>
        </is>
      </c>
      <c r="E108" s="25" t="inlineStr">
        <is>
          <t>Office Supplies</t>
        </is>
      </c>
      <c r="F108" s="25" t="inlineStr">
        <is>
          <t>Printer Paper Box</t>
        </is>
      </c>
      <c r="G108" s="25" t="n">
        <v>2</v>
      </c>
      <c r="H108" s="27" t="n">
        <v>1600</v>
      </c>
      <c r="I108" s="28" t="n">
        <v>0</v>
      </c>
      <c r="J108" s="27" t="n">
        <v>1050</v>
      </c>
      <c r="K108" s="27">
        <f>G108*H108*(1-I108)</f>
        <v/>
      </c>
      <c r="L108" s="27">
        <f>K108-G108*J108</f>
        <v/>
      </c>
    </row>
    <row r="109">
      <c r="A109" s="25" t="inlineStr">
        <is>
          <t>ORD-11136</t>
        </is>
      </c>
      <c r="B109" s="26" t="n">
        <v>45695</v>
      </c>
      <c r="C109" s="25">
        <f>MONTH(B109)</f>
        <v/>
      </c>
      <c r="D109" s="25" t="inlineStr">
        <is>
          <t>South</t>
        </is>
      </c>
      <c r="E109" s="25" t="inlineStr">
        <is>
          <t>Technology</t>
        </is>
      </c>
      <c r="F109" s="25" t="inlineStr">
        <is>
          <t>Monitor 24"</t>
        </is>
      </c>
      <c r="G109" s="25" t="n">
        <v>1</v>
      </c>
      <c r="H109" s="27" t="n">
        <v>11500</v>
      </c>
      <c r="I109" s="28" t="n">
        <v>0.05</v>
      </c>
      <c r="J109" s="27" t="n">
        <v>8200</v>
      </c>
      <c r="K109" s="27">
        <f>G109*H109*(1-I109)</f>
        <v/>
      </c>
      <c r="L109" s="27">
        <f>K109-G109*J109</f>
        <v/>
      </c>
    </row>
    <row r="110">
      <c r="A110" s="25" t="inlineStr">
        <is>
          <t>ORD-10804</t>
        </is>
      </c>
      <c r="B110" s="26" t="n">
        <v>45696</v>
      </c>
      <c r="C110" s="25">
        <f>MONTH(B110)</f>
        <v/>
      </c>
      <c r="D110" s="25" t="inlineStr">
        <is>
          <t>South</t>
        </is>
      </c>
      <c r="E110" s="25" t="inlineStr">
        <is>
          <t>Accessories</t>
        </is>
      </c>
      <c r="F110" s="25" t="inlineStr">
        <is>
          <t>USB-C Hub</t>
        </is>
      </c>
      <c r="G110" s="25" t="n">
        <v>4</v>
      </c>
      <c r="H110" s="27" t="n">
        <v>1800</v>
      </c>
      <c r="I110" s="28" t="n">
        <v>0.1</v>
      </c>
      <c r="J110" s="27" t="n">
        <v>980</v>
      </c>
      <c r="K110" s="27">
        <f>G110*H110*(1-I110)</f>
        <v/>
      </c>
      <c r="L110" s="27">
        <f>K110-G110*J110</f>
        <v/>
      </c>
    </row>
    <row r="111">
      <c r="A111" s="25" t="inlineStr">
        <is>
          <t>ORD-10908</t>
        </is>
      </c>
      <c r="B111" s="26" t="n">
        <v>45696</v>
      </c>
      <c r="C111" s="25">
        <f>MONTH(B111)</f>
        <v/>
      </c>
      <c r="D111" s="25" t="inlineStr">
        <is>
          <t>North</t>
        </is>
      </c>
      <c r="E111" s="25" t="inlineStr">
        <is>
          <t>Accessories</t>
        </is>
      </c>
      <c r="F111" s="25" t="inlineStr">
        <is>
          <t>Headphones</t>
        </is>
      </c>
      <c r="G111" s="25" t="n">
        <v>2</v>
      </c>
      <c r="H111" s="27" t="n">
        <v>4500</v>
      </c>
      <c r="I111" s="28" t="n">
        <v>0.05</v>
      </c>
      <c r="J111" s="27" t="n">
        <v>2600</v>
      </c>
      <c r="K111" s="27">
        <f>G111*H111*(1-I111)</f>
        <v/>
      </c>
      <c r="L111" s="27">
        <f>K111-G111*J111</f>
        <v/>
      </c>
    </row>
    <row r="112">
      <c r="A112" s="25" t="inlineStr">
        <is>
          <t>ORD-11150</t>
        </is>
      </c>
      <c r="B112" s="26" t="n">
        <v>45696</v>
      </c>
      <c r="C112" s="25">
        <f>MONTH(B112)</f>
        <v/>
      </c>
      <c r="D112" s="25" t="inlineStr">
        <is>
          <t>South</t>
        </is>
      </c>
      <c r="E112" s="25" t="inlineStr">
        <is>
          <t>Technology</t>
        </is>
      </c>
      <c r="F112" s="25" t="inlineStr">
        <is>
          <t>Mechanical Keyboard</t>
        </is>
      </c>
      <c r="G112" s="25" t="n">
        <v>3</v>
      </c>
      <c r="H112" s="27" t="n">
        <v>4200</v>
      </c>
      <c r="I112" s="28" t="n">
        <v>0.15</v>
      </c>
      <c r="J112" s="27" t="n">
        <v>2500</v>
      </c>
      <c r="K112" s="27">
        <f>G112*H112*(1-I112)</f>
        <v/>
      </c>
      <c r="L112" s="27">
        <f>K112-G112*J112</f>
        <v/>
      </c>
    </row>
    <row r="113">
      <c r="A113" s="25" t="inlineStr">
        <is>
          <t>ORD-10104</t>
        </is>
      </c>
      <c r="B113" s="26" t="n">
        <v>45697</v>
      </c>
      <c r="C113" s="25">
        <f>MONTH(B113)</f>
        <v/>
      </c>
      <c r="D113" s="25" t="inlineStr">
        <is>
          <t>North</t>
        </is>
      </c>
      <c r="E113" s="25" t="inlineStr">
        <is>
          <t>Office Supplies</t>
        </is>
      </c>
      <c r="F113" s="25" t="inlineStr">
        <is>
          <t>Printer Paper Box</t>
        </is>
      </c>
      <c r="G113" s="25" t="n">
        <v>2</v>
      </c>
      <c r="H113" s="27" t="n">
        <v>1600</v>
      </c>
      <c r="I113" s="28" t="n">
        <v>0.05</v>
      </c>
      <c r="J113" s="27" t="n">
        <v>1050</v>
      </c>
      <c r="K113" s="27">
        <f>G113*H113*(1-I113)</f>
        <v/>
      </c>
      <c r="L113" s="27">
        <f>K113-G113*J113</f>
        <v/>
      </c>
    </row>
    <row r="114">
      <c r="A114" s="25" t="inlineStr">
        <is>
          <t>ORD-10221</t>
        </is>
      </c>
      <c r="B114" s="26" t="n">
        <v>45697</v>
      </c>
      <c r="C114" s="25">
        <f>MONTH(B114)</f>
        <v/>
      </c>
      <c r="D114" s="25" t="inlineStr">
        <is>
          <t>West</t>
        </is>
      </c>
      <c r="E114" s="25" t="inlineStr">
        <is>
          <t>Accessories</t>
        </is>
      </c>
      <c r="F114" s="25" t="inlineStr">
        <is>
          <t>Headphones</t>
        </is>
      </c>
      <c r="G114" s="25" t="n">
        <v>2</v>
      </c>
      <c r="H114" s="27" t="n">
        <v>4500</v>
      </c>
      <c r="I114" s="28" t="n">
        <v>0</v>
      </c>
      <c r="J114" s="27" t="n">
        <v>2600</v>
      </c>
      <c r="K114" s="27">
        <f>G114*H114*(1-I114)</f>
        <v/>
      </c>
      <c r="L114" s="27">
        <f>K114-G114*J114</f>
        <v/>
      </c>
    </row>
    <row r="115">
      <c r="A115" s="25" t="inlineStr">
        <is>
          <t>ORD-10294</t>
        </is>
      </c>
      <c r="B115" s="26" t="n">
        <v>45697</v>
      </c>
      <c r="C115" s="25">
        <f>MONTH(B115)</f>
        <v/>
      </c>
      <c r="D115" s="25" t="inlineStr">
        <is>
          <t>North</t>
        </is>
      </c>
      <c r="E115" s="25" t="inlineStr">
        <is>
          <t>Furniture</t>
        </is>
      </c>
      <c r="F115" s="25" t="inlineStr">
        <is>
          <t>Bookshelf</t>
        </is>
      </c>
      <c r="G115" s="25" t="n">
        <v>1</v>
      </c>
      <c r="H115" s="27" t="n">
        <v>6200</v>
      </c>
      <c r="I115" s="28" t="n">
        <v>0.1</v>
      </c>
      <c r="J115" s="27" t="n">
        <v>4100</v>
      </c>
      <c r="K115" s="27">
        <f>G115*H115*(1-I115)</f>
        <v/>
      </c>
      <c r="L115" s="27">
        <f>K115-G115*J115</f>
        <v/>
      </c>
    </row>
    <row r="116">
      <c r="A116" s="25" t="inlineStr">
        <is>
          <t>ORD-10362</t>
        </is>
      </c>
      <c r="B116" s="26" t="n">
        <v>45697</v>
      </c>
      <c r="C116" s="25">
        <f>MONTH(B116)</f>
        <v/>
      </c>
      <c r="D116" s="25" t="inlineStr">
        <is>
          <t>East</t>
        </is>
      </c>
      <c r="E116" s="25" t="inlineStr">
        <is>
          <t>Office Supplies</t>
        </is>
      </c>
      <c r="F116" s="25" t="inlineStr">
        <is>
          <t>Desk Organizer</t>
        </is>
      </c>
      <c r="G116" s="25" t="n">
        <v>2</v>
      </c>
      <c r="H116" s="27" t="n">
        <v>850</v>
      </c>
      <c r="I116" s="28" t="n">
        <v>0</v>
      </c>
      <c r="J116" s="27" t="n">
        <v>420</v>
      </c>
      <c r="K116" s="27">
        <f>G116*H116*(1-I116)</f>
        <v/>
      </c>
      <c r="L116" s="27">
        <f>K116-G116*J116</f>
        <v/>
      </c>
    </row>
    <row r="117">
      <c r="A117" s="25" t="inlineStr">
        <is>
          <t>ORD-10880</t>
        </is>
      </c>
      <c r="B117" s="26" t="n">
        <v>45697</v>
      </c>
      <c r="C117" s="25">
        <f>MONTH(B117)</f>
        <v/>
      </c>
      <c r="D117" s="25" t="inlineStr">
        <is>
          <t>East</t>
        </is>
      </c>
      <c r="E117" s="25" t="inlineStr">
        <is>
          <t>Office Supplies</t>
        </is>
      </c>
      <c r="F117" s="25" t="inlineStr">
        <is>
          <t>Printer Paper Box</t>
        </is>
      </c>
      <c r="G117" s="25" t="n">
        <v>2</v>
      </c>
      <c r="H117" s="27" t="n">
        <v>1600</v>
      </c>
      <c r="I117" s="28" t="n">
        <v>0</v>
      </c>
      <c r="J117" s="27" t="n">
        <v>1050</v>
      </c>
      <c r="K117" s="27">
        <f>G117*H117*(1-I117)</f>
        <v/>
      </c>
      <c r="L117" s="27">
        <f>K117-G117*J117</f>
        <v/>
      </c>
    </row>
    <row r="118">
      <c r="A118" s="25" t="inlineStr">
        <is>
          <t>ORD-10900</t>
        </is>
      </c>
      <c r="B118" s="26" t="n">
        <v>45697</v>
      </c>
      <c r="C118" s="25">
        <f>MONTH(B118)</f>
        <v/>
      </c>
      <c r="D118" s="25" t="inlineStr">
        <is>
          <t>North</t>
        </is>
      </c>
      <c r="E118" s="25" t="inlineStr">
        <is>
          <t>Furniture</t>
        </is>
      </c>
      <c r="F118" s="25" t="inlineStr">
        <is>
          <t>Office Chair</t>
        </is>
      </c>
      <c r="G118" s="25" t="n">
        <v>1</v>
      </c>
      <c r="H118" s="27" t="n">
        <v>8500</v>
      </c>
      <c r="I118" s="28" t="n">
        <v>0.15</v>
      </c>
      <c r="J118" s="27" t="n">
        <v>5600</v>
      </c>
      <c r="K118" s="27">
        <f>G118*H118*(1-I118)</f>
        <v/>
      </c>
      <c r="L118" s="27">
        <f>K118-G118*J118</f>
        <v/>
      </c>
    </row>
    <row r="119">
      <c r="A119" s="25" t="inlineStr">
        <is>
          <t>ORD-10228</t>
        </is>
      </c>
      <c r="B119" s="26" t="n">
        <v>45698</v>
      </c>
      <c r="C119" s="25">
        <f>MONTH(B119)</f>
        <v/>
      </c>
      <c r="D119" s="25" t="inlineStr">
        <is>
          <t>North</t>
        </is>
      </c>
      <c r="E119" s="25" t="inlineStr">
        <is>
          <t>Office Supplies</t>
        </is>
      </c>
      <c r="F119" s="25" t="inlineStr">
        <is>
          <t>Notebook Set</t>
        </is>
      </c>
      <c r="G119" s="25" t="n">
        <v>1</v>
      </c>
      <c r="H119" s="27" t="n">
        <v>450</v>
      </c>
      <c r="I119" s="28" t="n">
        <v>0.15</v>
      </c>
      <c r="J119" s="27" t="n">
        <v>190</v>
      </c>
      <c r="K119" s="27">
        <f>G119*H119*(1-I119)</f>
        <v/>
      </c>
      <c r="L119" s="27">
        <f>K119-G119*J119</f>
        <v/>
      </c>
    </row>
    <row r="120">
      <c r="A120" s="25" t="inlineStr">
        <is>
          <t>ORD-10231</t>
        </is>
      </c>
      <c r="B120" s="26" t="n">
        <v>45698</v>
      </c>
      <c r="C120" s="25">
        <f>MONTH(B120)</f>
        <v/>
      </c>
      <c r="D120" s="25" t="inlineStr">
        <is>
          <t>South</t>
        </is>
      </c>
      <c r="E120" s="25" t="inlineStr">
        <is>
          <t>Office Supplies</t>
        </is>
      </c>
      <c r="F120" s="25" t="inlineStr">
        <is>
          <t>Printer Paper Box</t>
        </is>
      </c>
      <c r="G120" s="25" t="n">
        <v>5</v>
      </c>
      <c r="H120" s="27" t="n">
        <v>1600</v>
      </c>
      <c r="I120" s="28" t="n">
        <v>0.05</v>
      </c>
      <c r="J120" s="27" t="n">
        <v>1050</v>
      </c>
      <c r="K120" s="27">
        <f>G120*H120*(1-I120)</f>
        <v/>
      </c>
      <c r="L120" s="27">
        <f>K120-G120*J120</f>
        <v/>
      </c>
    </row>
    <row r="121">
      <c r="A121" s="25" t="inlineStr">
        <is>
          <t>ORD-10492</t>
        </is>
      </c>
      <c r="B121" s="26" t="n">
        <v>45698</v>
      </c>
      <c r="C121" s="25">
        <f>MONTH(B121)</f>
        <v/>
      </c>
      <c r="D121" s="25" t="inlineStr">
        <is>
          <t>North</t>
        </is>
      </c>
      <c r="E121" s="25" t="inlineStr">
        <is>
          <t>Furniture</t>
        </is>
      </c>
      <c r="F121" s="25" t="inlineStr">
        <is>
          <t>Standing Desk</t>
        </is>
      </c>
      <c r="G121" s="25" t="n">
        <v>2</v>
      </c>
      <c r="H121" s="27" t="n">
        <v>19500</v>
      </c>
      <c r="I121" s="28" t="n">
        <v>0</v>
      </c>
      <c r="J121" s="27" t="n">
        <v>13800</v>
      </c>
      <c r="K121" s="27">
        <f>G121*H121*(1-I121)</f>
        <v/>
      </c>
      <c r="L121" s="27">
        <f>K121-G121*J121</f>
        <v/>
      </c>
    </row>
    <row r="122">
      <c r="A122" s="25" t="inlineStr">
        <is>
          <t>ORD-10191</t>
        </is>
      </c>
      <c r="B122" s="26" t="n">
        <v>45699</v>
      </c>
      <c r="C122" s="25">
        <f>MONTH(B122)</f>
        <v/>
      </c>
      <c r="D122" s="25" t="inlineStr">
        <is>
          <t>South</t>
        </is>
      </c>
      <c r="E122" s="25" t="inlineStr">
        <is>
          <t>Office Supplies</t>
        </is>
      </c>
      <c r="F122" s="25" t="inlineStr">
        <is>
          <t>Desk Organizer</t>
        </is>
      </c>
      <c r="G122" s="25" t="n">
        <v>2</v>
      </c>
      <c r="H122" s="27" t="n">
        <v>850</v>
      </c>
      <c r="I122" s="28" t="n">
        <v>0</v>
      </c>
      <c r="J122" s="27" t="n">
        <v>420</v>
      </c>
      <c r="K122" s="27">
        <f>G122*H122*(1-I122)</f>
        <v/>
      </c>
      <c r="L122" s="27">
        <f>K122-G122*J122</f>
        <v/>
      </c>
    </row>
    <row r="123">
      <c r="A123" s="25" t="inlineStr">
        <is>
          <t>ORD-10339</t>
        </is>
      </c>
      <c r="B123" s="26" t="n">
        <v>45699</v>
      </c>
      <c r="C123" s="25">
        <f>MONTH(B123)</f>
        <v/>
      </c>
      <c r="D123" s="25" t="inlineStr">
        <is>
          <t>North</t>
        </is>
      </c>
      <c r="E123" s="25" t="inlineStr">
        <is>
          <t>Office Supplies</t>
        </is>
      </c>
      <c r="F123" s="25" t="inlineStr">
        <is>
          <t>Notebook Set</t>
        </is>
      </c>
      <c r="G123" s="25" t="n">
        <v>2</v>
      </c>
      <c r="H123" s="27" t="n">
        <v>450</v>
      </c>
      <c r="I123" s="28" t="n">
        <v>0</v>
      </c>
      <c r="J123" s="27" t="n">
        <v>190</v>
      </c>
      <c r="K123" s="27">
        <f>G123*H123*(1-I123)</f>
        <v/>
      </c>
      <c r="L123" s="27">
        <f>K123-G123*J123</f>
        <v/>
      </c>
    </row>
    <row r="124">
      <c r="A124" s="25" t="inlineStr">
        <is>
          <t>ORD-10823</t>
        </is>
      </c>
      <c r="B124" s="26" t="n">
        <v>45699</v>
      </c>
      <c r="C124" s="25">
        <f>MONTH(B124)</f>
        <v/>
      </c>
      <c r="D124" s="25" t="inlineStr">
        <is>
          <t>South</t>
        </is>
      </c>
      <c r="E124" s="25" t="inlineStr">
        <is>
          <t>Office Supplies</t>
        </is>
      </c>
      <c r="F124" s="25" t="inlineStr">
        <is>
          <t>Desk Organizer</t>
        </is>
      </c>
      <c r="G124" s="25" t="n">
        <v>4</v>
      </c>
      <c r="H124" s="27" t="n">
        <v>850</v>
      </c>
      <c r="I124" s="28" t="n">
        <v>0.1</v>
      </c>
      <c r="J124" s="27" t="n">
        <v>420</v>
      </c>
      <c r="K124" s="27">
        <f>G124*H124*(1-I124)</f>
        <v/>
      </c>
      <c r="L124" s="27">
        <f>K124-G124*J124</f>
        <v/>
      </c>
    </row>
    <row r="125">
      <c r="A125" s="25" t="inlineStr">
        <is>
          <t>ORD-11126</t>
        </is>
      </c>
      <c r="B125" s="26" t="n">
        <v>45699</v>
      </c>
      <c r="C125" s="25">
        <f>MONTH(B125)</f>
        <v/>
      </c>
      <c r="D125" s="25" t="inlineStr">
        <is>
          <t>East</t>
        </is>
      </c>
      <c r="E125" s="25" t="inlineStr">
        <is>
          <t>Accessories</t>
        </is>
      </c>
      <c r="F125" s="25" t="inlineStr">
        <is>
          <t>Webcam</t>
        </is>
      </c>
      <c r="G125" s="25" t="n">
        <v>3</v>
      </c>
      <c r="H125" s="27" t="n">
        <v>3200</v>
      </c>
      <c r="I125" s="28" t="n">
        <v>0.05</v>
      </c>
      <c r="J125" s="27" t="n">
        <v>1900</v>
      </c>
      <c r="K125" s="27">
        <f>G125*H125*(1-I125)</f>
        <v/>
      </c>
      <c r="L125" s="27">
        <f>K125-G125*J125</f>
        <v/>
      </c>
    </row>
    <row r="126">
      <c r="A126" s="25" t="inlineStr">
        <is>
          <t>ORD-10596</t>
        </is>
      </c>
      <c r="B126" s="26" t="n">
        <v>45700</v>
      </c>
      <c r="C126" s="25">
        <f>MONTH(B126)</f>
        <v/>
      </c>
      <c r="D126" s="25" t="inlineStr">
        <is>
          <t>West</t>
        </is>
      </c>
      <c r="E126" s="25" t="inlineStr">
        <is>
          <t>Office Supplies</t>
        </is>
      </c>
      <c r="F126" s="25" t="inlineStr">
        <is>
          <t>Printer Paper Box</t>
        </is>
      </c>
      <c r="G126" s="25" t="n">
        <v>6</v>
      </c>
      <c r="H126" s="27" t="n">
        <v>1600</v>
      </c>
      <c r="I126" s="28" t="n">
        <v>0.15</v>
      </c>
      <c r="J126" s="27" t="n">
        <v>1050</v>
      </c>
      <c r="K126" s="27">
        <f>G126*H126*(1-I126)</f>
        <v/>
      </c>
      <c r="L126" s="27">
        <f>K126-G126*J126</f>
        <v/>
      </c>
    </row>
    <row r="127">
      <c r="A127" s="25" t="inlineStr">
        <is>
          <t>ORD-10627</t>
        </is>
      </c>
      <c r="B127" s="26" t="n">
        <v>45700</v>
      </c>
      <c r="C127" s="25">
        <f>MONTH(B127)</f>
        <v/>
      </c>
      <c r="D127" s="25" t="inlineStr">
        <is>
          <t>East</t>
        </is>
      </c>
      <c r="E127" s="25" t="inlineStr">
        <is>
          <t>Furniture</t>
        </is>
      </c>
      <c r="F127" s="25" t="inlineStr">
        <is>
          <t>Bookshelf</t>
        </is>
      </c>
      <c r="G127" s="25" t="n">
        <v>1</v>
      </c>
      <c r="H127" s="27" t="n">
        <v>6200</v>
      </c>
      <c r="I127" s="28" t="n">
        <v>0.2</v>
      </c>
      <c r="J127" s="27" t="n">
        <v>4100</v>
      </c>
      <c r="K127" s="27">
        <f>G127*H127*(1-I127)</f>
        <v/>
      </c>
      <c r="L127" s="27">
        <f>K127-G127*J127</f>
        <v/>
      </c>
    </row>
    <row r="128">
      <c r="A128" s="25" t="inlineStr">
        <is>
          <t>ORD-10895</t>
        </is>
      </c>
      <c r="B128" s="26" t="n">
        <v>45700</v>
      </c>
      <c r="C128" s="25">
        <f>MONTH(B128)</f>
        <v/>
      </c>
      <c r="D128" s="25" t="inlineStr">
        <is>
          <t>North</t>
        </is>
      </c>
      <c r="E128" s="25" t="inlineStr">
        <is>
          <t>Office Supplies</t>
        </is>
      </c>
      <c r="F128" s="25" t="inlineStr">
        <is>
          <t>Notebook Set</t>
        </is>
      </c>
      <c r="G128" s="25" t="n">
        <v>1</v>
      </c>
      <c r="H128" s="27" t="n">
        <v>450</v>
      </c>
      <c r="I128" s="28" t="n">
        <v>0.15</v>
      </c>
      <c r="J128" s="27" t="n">
        <v>190</v>
      </c>
      <c r="K128" s="27">
        <f>G128*H128*(1-I128)</f>
        <v/>
      </c>
      <c r="L128" s="27">
        <f>K128-G128*J128</f>
        <v/>
      </c>
    </row>
    <row r="129">
      <c r="A129" s="25" t="inlineStr">
        <is>
          <t>ORD-10981</t>
        </is>
      </c>
      <c r="B129" s="26" t="n">
        <v>45700</v>
      </c>
      <c r="C129" s="25">
        <f>MONTH(B129)</f>
        <v/>
      </c>
      <c r="D129" s="25" t="inlineStr">
        <is>
          <t>North</t>
        </is>
      </c>
      <c r="E129" s="25" t="inlineStr">
        <is>
          <t>Office Supplies</t>
        </is>
      </c>
      <c r="F129" s="25" t="inlineStr">
        <is>
          <t>Notebook Set</t>
        </is>
      </c>
      <c r="G129" s="25" t="n">
        <v>5</v>
      </c>
      <c r="H129" s="27" t="n">
        <v>450</v>
      </c>
      <c r="I129" s="28" t="n">
        <v>0</v>
      </c>
      <c r="J129" s="27" t="n">
        <v>190</v>
      </c>
      <c r="K129" s="27">
        <f>G129*H129*(1-I129)</f>
        <v/>
      </c>
      <c r="L129" s="27">
        <f>K129-G129*J129</f>
        <v/>
      </c>
    </row>
    <row r="130">
      <c r="A130" s="25" t="inlineStr">
        <is>
          <t>ORD-10946</t>
        </is>
      </c>
      <c r="B130" s="26" t="n">
        <v>45701</v>
      </c>
      <c r="C130" s="25">
        <f>MONTH(B130)</f>
        <v/>
      </c>
      <c r="D130" s="25" t="inlineStr">
        <is>
          <t>South</t>
        </is>
      </c>
      <c r="E130" s="25" t="inlineStr">
        <is>
          <t>Office Supplies</t>
        </is>
      </c>
      <c r="F130" s="25" t="inlineStr">
        <is>
          <t>Notebook Set</t>
        </is>
      </c>
      <c r="G130" s="25" t="n">
        <v>6</v>
      </c>
      <c r="H130" s="27" t="n">
        <v>450</v>
      </c>
      <c r="I130" s="28" t="n">
        <v>0.2</v>
      </c>
      <c r="J130" s="27" t="n">
        <v>190</v>
      </c>
      <c r="K130" s="27">
        <f>G130*H130*(1-I130)</f>
        <v/>
      </c>
      <c r="L130" s="27">
        <f>K130-G130*J130</f>
        <v/>
      </c>
    </row>
    <row r="131">
      <c r="A131" s="25" t="inlineStr">
        <is>
          <t>ORD-10096</t>
        </is>
      </c>
      <c r="B131" s="26" t="n">
        <v>45702</v>
      </c>
      <c r="C131" s="25">
        <f>MONTH(B131)</f>
        <v/>
      </c>
      <c r="D131" s="25" t="inlineStr">
        <is>
          <t>South</t>
        </is>
      </c>
      <c r="E131" s="25" t="inlineStr">
        <is>
          <t>Accessories</t>
        </is>
      </c>
      <c r="F131" s="25" t="inlineStr">
        <is>
          <t>Webcam</t>
        </is>
      </c>
      <c r="G131" s="25" t="n">
        <v>3</v>
      </c>
      <c r="H131" s="27" t="n">
        <v>3200</v>
      </c>
      <c r="I131" s="28" t="n">
        <v>0</v>
      </c>
      <c r="J131" s="27" t="n">
        <v>1900</v>
      </c>
      <c r="K131" s="27">
        <f>G131*H131*(1-I131)</f>
        <v/>
      </c>
      <c r="L131" s="27">
        <f>K131-G131*J131</f>
        <v/>
      </c>
    </row>
    <row r="132">
      <c r="A132" s="25" t="inlineStr">
        <is>
          <t>ORD-10318</t>
        </is>
      </c>
      <c r="B132" s="26" t="n">
        <v>45702</v>
      </c>
      <c r="C132" s="25">
        <f>MONTH(B132)</f>
        <v/>
      </c>
      <c r="D132" s="25" t="inlineStr">
        <is>
          <t>West</t>
        </is>
      </c>
      <c r="E132" s="25" t="inlineStr">
        <is>
          <t>Office Supplies</t>
        </is>
      </c>
      <c r="F132" s="25" t="inlineStr">
        <is>
          <t>Notebook Set</t>
        </is>
      </c>
      <c r="G132" s="25" t="n">
        <v>2</v>
      </c>
      <c r="H132" s="27" t="n">
        <v>450</v>
      </c>
      <c r="I132" s="28" t="n">
        <v>0</v>
      </c>
      <c r="J132" s="27" t="n">
        <v>190</v>
      </c>
      <c r="K132" s="27">
        <f>G132*H132*(1-I132)</f>
        <v/>
      </c>
      <c r="L132" s="27">
        <f>K132-G132*J132</f>
        <v/>
      </c>
    </row>
    <row r="133">
      <c r="A133" s="25" t="inlineStr">
        <is>
          <t>ORD-10559</t>
        </is>
      </c>
      <c r="B133" s="26" t="n">
        <v>45703</v>
      </c>
      <c r="C133" s="25">
        <f>MONTH(B133)</f>
        <v/>
      </c>
      <c r="D133" s="25" t="inlineStr">
        <is>
          <t>South</t>
        </is>
      </c>
      <c r="E133" s="25" t="inlineStr">
        <is>
          <t>Accessories</t>
        </is>
      </c>
      <c r="F133" s="25" t="inlineStr">
        <is>
          <t>Webcam</t>
        </is>
      </c>
      <c r="G133" s="25" t="n">
        <v>2</v>
      </c>
      <c r="H133" s="27" t="n">
        <v>3200</v>
      </c>
      <c r="I133" s="28" t="n">
        <v>0</v>
      </c>
      <c r="J133" s="27" t="n">
        <v>1900</v>
      </c>
      <c r="K133" s="27">
        <f>G133*H133*(1-I133)</f>
        <v/>
      </c>
      <c r="L133" s="27">
        <f>K133-G133*J133</f>
        <v/>
      </c>
    </row>
    <row r="134">
      <c r="A134" s="25" t="inlineStr">
        <is>
          <t>ORD-10660</t>
        </is>
      </c>
      <c r="B134" s="26" t="n">
        <v>45703</v>
      </c>
      <c r="C134" s="25">
        <f>MONTH(B134)</f>
        <v/>
      </c>
      <c r="D134" s="25" t="inlineStr">
        <is>
          <t>North</t>
        </is>
      </c>
      <c r="E134" s="25" t="inlineStr">
        <is>
          <t>Furniture</t>
        </is>
      </c>
      <c r="F134" s="25" t="inlineStr">
        <is>
          <t>Standing Desk</t>
        </is>
      </c>
      <c r="G134" s="25" t="n">
        <v>2</v>
      </c>
      <c r="H134" s="27" t="n">
        <v>19500</v>
      </c>
      <c r="I134" s="28" t="n">
        <v>0</v>
      </c>
      <c r="J134" s="27" t="n">
        <v>13800</v>
      </c>
      <c r="K134" s="27">
        <f>G134*H134*(1-I134)</f>
        <v/>
      </c>
      <c r="L134" s="27">
        <f>K134-G134*J134</f>
        <v/>
      </c>
    </row>
    <row r="135">
      <c r="A135" s="25" t="inlineStr">
        <is>
          <t>ORD-10828</t>
        </is>
      </c>
      <c r="B135" s="26" t="n">
        <v>45703</v>
      </c>
      <c r="C135" s="25">
        <f>MONTH(B135)</f>
        <v/>
      </c>
      <c r="D135" s="25" t="inlineStr">
        <is>
          <t>North</t>
        </is>
      </c>
      <c r="E135" s="25" t="inlineStr">
        <is>
          <t>Accessories</t>
        </is>
      </c>
      <c r="F135" s="25" t="inlineStr">
        <is>
          <t>Headphones</t>
        </is>
      </c>
      <c r="G135" s="25" t="n">
        <v>2</v>
      </c>
      <c r="H135" s="27" t="n">
        <v>4500</v>
      </c>
      <c r="I135" s="28" t="n">
        <v>0</v>
      </c>
      <c r="J135" s="27" t="n">
        <v>2600</v>
      </c>
      <c r="K135" s="27">
        <f>G135*H135*(1-I135)</f>
        <v/>
      </c>
      <c r="L135" s="27">
        <f>K135-G135*J135</f>
        <v/>
      </c>
    </row>
    <row r="136">
      <c r="A136" s="25" t="inlineStr">
        <is>
          <t>ORD-10520</t>
        </is>
      </c>
      <c r="B136" s="26" t="n">
        <v>45704</v>
      </c>
      <c r="C136" s="25">
        <f>MONTH(B136)</f>
        <v/>
      </c>
      <c r="D136" s="25" t="inlineStr">
        <is>
          <t>South</t>
        </is>
      </c>
      <c r="E136" s="25" t="inlineStr">
        <is>
          <t>Technology</t>
        </is>
      </c>
      <c r="F136" s="25" t="inlineStr">
        <is>
          <t>Mechanical Keyboard</t>
        </is>
      </c>
      <c r="G136" s="25" t="n">
        <v>3</v>
      </c>
      <c r="H136" s="27" t="n">
        <v>4200</v>
      </c>
      <c r="I136" s="28" t="n">
        <v>0.15</v>
      </c>
      <c r="J136" s="27" t="n">
        <v>2500</v>
      </c>
      <c r="K136" s="27">
        <f>G136*H136*(1-I136)</f>
        <v/>
      </c>
      <c r="L136" s="27">
        <f>K136-G136*J136</f>
        <v/>
      </c>
    </row>
    <row r="137">
      <c r="A137" s="25" t="inlineStr">
        <is>
          <t>ORD-10337</t>
        </is>
      </c>
      <c r="B137" s="26" t="n">
        <v>45705</v>
      </c>
      <c r="C137" s="25">
        <f>MONTH(B137)</f>
        <v/>
      </c>
      <c r="D137" s="25" t="inlineStr">
        <is>
          <t>South</t>
        </is>
      </c>
      <c r="E137" s="25" t="inlineStr">
        <is>
          <t>Office Supplies</t>
        </is>
      </c>
      <c r="F137" s="25" t="inlineStr">
        <is>
          <t>Notebook Set</t>
        </is>
      </c>
      <c r="G137" s="25" t="n">
        <v>4</v>
      </c>
      <c r="H137" s="27" t="n">
        <v>450</v>
      </c>
      <c r="I137" s="28" t="n">
        <v>0.15</v>
      </c>
      <c r="J137" s="27" t="n">
        <v>190</v>
      </c>
      <c r="K137" s="27">
        <f>G137*H137*(1-I137)</f>
        <v/>
      </c>
      <c r="L137" s="27">
        <f>K137-G137*J137</f>
        <v/>
      </c>
    </row>
    <row r="138">
      <c r="A138" s="25" t="inlineStr">
        <is>
          <t>ORD-10470</t>
        </is>
      </c>
      <c r="B138" s="26" t="n">
        <v>45705</v>
      </c>
      <c r="C138" s="25">
        <f>MONTH(B138)</f>
        <v/>
      </c>
      <c r="D138" s="25" t="inlineStr">
        <is>
          <t>North</t>
        </is>
      </c>
      <c r="E138" s="25" t="inlineStr">
        <is>
          <t>Office Supplies</t>
        </is>
      </c>
      <c r="F138" s="25" t="inlineStr">
        <is>
          <t>Printer Paper Box</t>
        </is>
      </c>
      <c r="G138" s="25" t="n">
        <v>2</v>
      </c>
      <c r="H138" s="27" t="n">
        <v>1600</v>
      </c>
      <c r="I138" s="28" t="n">
        <v>0.05</v>
      </c>
      <c r="J138" s="27" t="n">
        <v>1050</v>
      </c>
      <c r="K138" s="27">
        <f>G138*H138*(1-I138)</f>
        <v/>
      </c>
      <c r="L138" s="27">
        <f>K138-G138*J138</f>
        <v/>
      </c>
    </row>
    <row r="139">
      <c r="A139" s="25" t="inlineStr">
        <is>
          <t>ORD-10800</t>
        </is>
      </c>
      <c r="B139" s="26" t="n">
        <v>45705</v>
      </c>
      <c r="C139" s="25">
        <f>MONTH(B139)</f>
        <v/>
      </c>
      <c r="D139" s="25" t="inlineStr">
        <is>
          <t>West</t>
        </is>
      </c>
      <c r="E139" s="25" t="inlineStr">
        <is>
          <t>Accessories</t>
        </is>
      </c>
      <c r="F139" s="25" t="inlineStr">
        <is>
          <t>Webcam</t>
        </is>
      </c>
      <c r="G139" s="25" t="n">
        <v>1</v>
      </c>
      <c r="H139" s="27" t="n">
        <v>3200</v>
      </c>
      <c r="I139" s="28" t="n">
        <v>0</v>
      </c>
      <c r="J139" s="27" t="n">
        <v>1900</v>
      </c>
      <c r="K139" s="27">
        <f>G139*H139*(1-I139)</f>
        <v/>
      </c>
      <c r="L139" s="27">
        <f>K139-G139*J139</f>
        <v/>
      </c>
    </row>
    <row r="140">
      <c r="A140" s="25" t="inlineStr">
        <is>
          <t>ORD-10188</t>
        </is>
      </c>
      <c r="B140" s="26" t="n">
        <v>45706</v>
      </c>
      <c r="C140" s="25">
        <f>MONTH(B140)</f>
        <v/>
      </c>
      <c r="D140" s="25" t="inlineStr">
        <is>
          <t>East</t>
        </is>
      </c>
      <c r="E140" s="25" t="inlineStr">
        <is>
          <t>Technology</t>
        </is>
      </c>
      <c r="F140" s="25" t="inlineStr">
        <is>
          <t>Mechanical Keyboard</t>
        </is>
      </c>
      <c r="G140" s="25" t="n">
        <v>2</v>
      </c>
      <c r="H140" s="27" t="n">
        <v>4200</v>
      </c>
      <c r="I140" s="28" t="n">
        <v>0</v>
      </c>
      <c r="J140" s="27" t="n">
        <v>2500</v>
      </c>
      <c r="K140" s="27">
        <f>G140*H140*(1-I140)</f>
        <v/>
      </c>
      <c r="L140" s="27">
        <f>K140-G140*J140</f>
        <v/>
      </c>
    </row>
    <row r="141">
      <c r="A141" s="25" t="inlineStr">
        <is>
          <t>ORD-10201</t>
        </is>
      </c>
      <c r="B141" s="26" t="n">
        <v>45706</v>
      </c>
      <c r="C141" s="25">
        <f>MONTH(B141)</f>
        <v/>
      </c>
      <c r="D141" s="25" t="inlineStr">
        <is>
          <t>North</t>
        </is>
      </c>
      <c r="E141" s="25" t="inlineStr">
        <is>
          <t>Accessories</t>
        </is>
      </c>
      <c r="F141" s="25" t="inlineStr">
        <is>
          <t>Webcam</t>
        </is>
      </c>
      <c r="G141" s="25" t="n">
        <v>1</v>
      </c>
      <c r="H141" s="27" t="n">
        <v>3200</v>
      </c>
      <c r="I141" s="28" t="n">
        <v>0</v>
      </c>
      <c r="J141" s="27" t="n">
        <v>1900</v>
      </c>
      <c r="K141" s="27">
        <f>G141*H141*(1-I141)</f>
        <v/>
      </c>
      <c r="L141" s="27">
        <f>K141-G141*J141</f>
        <v/>
      </c>
    </row>
    <row r="142">
      <c r="A142" s="25" t="inlineStr">
        <is>
          <t>ORD-10239</t>
        </is>
      </c>
      <c r="B142" s="26" t="n">
        <v>45706</v>
      </c>
      <c r="C142" s="25">
        <f>MONTH(B142)</f>
        <v/>
      </c>
      <c r="D142" s="25" t="inlineStr">
        <is>
          <t>South</t>
        </is>
      </c>
      <c r="E142" s="25" t="inlineStr">
        <is>
          <t>Office Supplies</t>
        </is>
      </c>
      <c r="F142" s="25" t="inlineStr">
        <is>
          <t>Printer Paper Box</t>
        </is>
      </c>
      <c r="G142" s="25" t="n">
        <v>5</v>
      </c>
      <c r="H142" s="27" t="n">
        <v>1600</v>
      </c>
      <c r="I142" s="28" t="n">
        <v>0.15</v>
      </c>
      <c r="J142" s="27" t="n">
        <v>1050</v>
      </c>
      <c r="K142" s="27">
        <f>G142*H142*(1-I142)</f>
        <v/>
      </c>
      <c r="L142" s="27">
        <f>K142-G142*J142</f>
        <v/>
      </c>
    </row>
    <row r="143">
      <c r="A143" s="25" t="inlineStr">
        <is>
          <t>ORD-10564</t>
        </is>
      </c>
      <c r="B143" s="26" t="n">
        <v>45706</v>
      </c>
      <c r="C143" s="25">
        <f>MONTH(B143)</f>
        <v/>
      </c>
      <c r="D143" s="25" t="inlineStr">
        <is>
          <t>West</t>
        </is>
      </c>
      <c r="E143" s="25" t="inlineStr">
        <is>
          <t>Office Supplies</t>
        </is>
      </c>
      <c r="F143" s="25" t="inlineStr">
        <is>
          <t>Notebook Set</t>
        </is>
      </c>
      <c r="G143" s="25" t="n">
        <v>8</v>
      </c>
      <c r="H143" s="27" t="n">
        <v>450</v>
      </c>
      <c r="I143" s="28" t="n">
        <v>0</v>
      </c>
      <c r="J143" s="27" t="n">
        <v>190</v>
      </c>
      <c r="K143" s="27">
        <f>G143*H143*(1-I143)</f>
        <v/>
      </c>
      <c r="L143" s="27">
        <f>K143-G143*J143</f>
        <v/>
      </c>
    </row>
    <row r="144">
      <c r="A144" s="25" t="inlineStr">
        <is>
          <t>ORD-11172</t>
        </is>
      </c>
      <c r="B144" s="26" t="n">
        <v>45706</v>
      </c>
      <c r="C144" s="25">
        <f>MONTH(B144)</f>
        <v/>
      </c>
      <c r="D144" s="25" t="inlineStr">
        <is>
          <t>South</t>
        </is>
      </c>
      <c r="E144" s="25" t="inlineStr">
        <is>
          <t>Technology</t>
        </is>
      </c>
      <c r="F144" s="25" t="inlineStr">
        <is>
          <t>Monitor 24"</t>
        </is>
      </c>
      <c r="G144" s="25" t="n">
        <v>1</v>
      </c>
      <c r="H144" s="27" t="n">
        <v>11500</v>
      </c>
      <c r="I144" s="28" t="n">
        <v>0</v>
      </c>
      <c r="J144" s="27" t="n">
        <v>8200</v>
      </c>
      <c r="K144" s="27">
        <f>G144*H144*(1-I144)</f>
        <v/>
      </c>
      <c r="L144" s="27">
        <f>K144-G144*J144</f>
        <v/>
      </c>
    </row>
    <row r="145">
      <c r="A145" s="25" t="inlineStr">
        <is>
          <t>ORD-10326</t>
        </is>
      </c>
      <c r="B145" s="26" t="n">
        <v>45707</v>
      </c>
      <c r="C145" s="25">
        <f>MONTH(B145)</f>
        <v/>
      </c>
      <c r="D145" s="25" t="inlineStr">
        <is>
          <t>South</t>
        </is>
      </c>
      <c r="E145" s="25" t="inlineStr">
        <is>
          <t>Office Supplies</t>
        </is>
      </c>
      <c r="F145" s="25" t="inlineStr">
        <is>
          <t>Notebook Set</t>
        </is>
      </c>
      <c r="G145" s="25" t="n">
        <v>6</v>
      </c>
      <c r="H145" s="27" t="n">
        <v>450</v>
      </c>
      <c r="I145" s="28" t="n">
        <v>0</v>
      </c>
      <c r="J145" s="27" t="n">
        <v>190</v>
      </c>
      <c r="K145" s="27">
        <f>G145*H145*(1-I145)</f>
        <v/>
      </c>
      <c r="L145" s="27">
        <f>K145-G145*J145</f>
        <v/>
      </c>
    </row>
    <row r="146">
      <c r="A146" s="25" t="inlineStr">
        <is>
          <t>ORD-10644</t>
        </is>
      </c>
      <c r="B146" s="26" t="n">
        <v>45707</v>
      </c>
      <c r="C146" s="25">
        <f>MONTH(B146)</f>
        <v/>
      </c>
      <c r="D146" s="25" t="inlineStr">
        <is>
          <t>West</t>
        </is>
      </c>
      <c r="E146" s="25" t="inlineStr">
        <is>
          <t>Technology</t>
        </is>
      </c>
      <c r="F146" s="25" t="inlineStr">
        <is>
          <t>Monitor 24"</t>
        </is>
      </c>
      <c r="G146" s="25" t="n">
        <v>1</v>
      </c>
      <c r="H146" s="27" t="n">
        <v>11500</v>
      </c>
      <c r="I146" s="28" t="n">
        <v>0.15</v>
      </c>
      <c r="J146" s="27" t="n">
        <v>8200</v>
      </c>
      <c r="K146" s="27">
        <f>G146*H146*(1-I146)</f>
        <v/>
      </c>
      <c r="L146" s="27">
        <f>K146-G146*J146</f>
        <v/>
      </c>
    </row>
    <row r="147">
      <c r="A147" s="25" t="inlineStr">
        <is>
          <t>ORD-11078</t>
        </is>
      </c>
      <c r="B147" s="26" t="n">
        <v>45707</v>
      </c>
      <c r="C147" s="25">
        <f>MONTH(B147)</f>
        <v/>
      </c>
      <c r="D147" s="25" t="inlineStr">
        <is>
          <t>South</t>
        </is>
      </c>
      <c r="E147" s="25" t="inlineStr">
        <is>
          <t>Technology</t>
        </is>
      </c>
      <c r="F147" s="25" t="inlineStr">
        <is>
          <t>Wireless Mouse</t>
        </is>
      </c>
      <c r="G147" s="25" t="n">
        <v>3</v>
      </c>
      <c r="H147" s="27" t="n">
        <v>1200</v>
      </c>
      <c r="I147" s="28" t="n">
        <v>0</v>
      </c>
      <c r="J147" s="27" t="n">
        <v>650</v>
      </c>
      <c r="K147" s="27">
        <f>G147*H147*(1-I147)</f>
        <v/>
      </c>
      <c r="L147" s="27">
        <f>K147-G147*J147</f>
        <v/>
      </c>
    </row>
    <row r="148">
      <c r="A148" s="25" t="inlineStr">
        <is>
          <t>ORD-10212</t>
        </is>
      </c>
      <c r="B148" s="26" t="n">
        <v>45708</v>
      </c>
      <c r="C148" s="25">
        <f>MONTH(B148)</f>
        <v/>
      </c>
      <c r="D148" s="25" t="inlineStr">
        <is>
          <t>North</t>
        </is>
      </c>
      <c r="E148" s="25" t="inlineStr">
        <is>
          <t>Office Supplies</t>
        </is>
      </c>
      <c r="F148" s="25" t="inlineStr">
        <is>
          <t>Notebook Set</t>
        </is>
      </c>
      <c r="G148" s="25" t="n">
        <v>5</v>
      </c>
      <c r="H148" s="27" t="n">
        <v>450</v>
      </c>
      <c r="I148" s="28" t="n">
        <v>0</v>
      </c>
      <c r="J148" s="27" t="n">
        <v>190</v>
      </c>
      <c r="K148" s="27">
        <f>G148*H148*(1-I148)</f>
        <v/>
      </c>
      <c r="L148" s="27">
        <f>K148-G148*J148</f>
        <v/>
      </c>
    </row>
    <row r="149">
      <c r="A149" s="25" t="inlineStr">
        <is>
          <t>ORD-10518</t>
        </is>
      </c>
      <c r="B149" s="26" t="n">
        <v>45708</v>
      </c>
      <c r="C149" s="25">
        <f>MONTH(B149)</f>
        <v/>
      </c>
      <c r="D149" s="25" t="inlineStr">
        <is>
          <t>East</t>
        </is>
      </c>
      <c r="E149" s="25" t="inlineStr">
        <is>
          <t>Office Supplies</t>
        </is>
      </c>
      <c r="F149" s="25" t="inlineStr">
        <is>
          <t>Desk Organizer</t>
        </is>
      </c>
      <c r="G149" s="25" t="n">
        <v>4</v>
      </c>
      <c r="H149" s="27" t="n">
        <v>850</v>
      </c>
      <c r="I149" s="28" t="n">
        <v>0</v>
      </c>
      <c r="J149" s="27" t="n">
        <v>420</v>
      </c>
      <c r="K149" s="27">
        <f>G149*H149*(1-I149)</f>
        <v/>
      </c>
      <c r="L149" s="27">
        <f>K149-G149*J149</f>
        <v/>
      </c>
    </row>
    <row r="150">
      <c r="A150" s="25" t="inlineStr">
        <is>
          <t>ORD-10732</t>
        </is>
      </c>
      <c r="B150" s="26" t="n">
        <v>45708</v>
      </c>
      <c r="C150" s="25">
        <f>MONTH(B150)</f>
        <v/>
      </c>
      <c r="D150" s="25" t="inlineStr">
        <is>
          <t>North</t>
        </is>
      </c>
      <c r="E150" s="25" t="inlineStr">
        <is>
          <t>Office Supplies</t>
        </is>
      </c>
      <c r="F150" s="25" t="inlineStr">
        <is>
          <t>Printer Paper Box</t>
        </is>
      </c>
      <c r="G150" s="25" t="n">
        <v>6</v>
      </c>
      <c r="H150" s="27" t="n">
        <v>1600</v>
      </c>
      <c r="I150" s="28" t="n">
        <v>0.15</v>
      </c>
      <c r="J150" s="27" t="n">
        <v>1050</v>
      </c>
      <c r="K150" s="27">
        <f>G150*H150*(1-I150)</f>
        <v/>
      </c>
      <c r="L150" s="27">
        <f>K150-G150*J150</f>
        <v/>
      </c>
    </row>
    <row r="151">
      <c r="A151" s="25" t="inlineStr">
        <is>
          <t>ORD-10083</t>
        </is>
      </c>
      <c r="B151" s="26" t="n">
        <v>45709</v>
      </c>
      <c r="C151" s="25">
        <f>MONTH(B151)</f>
        <v/>
      </c>
      <c r="D151" s="25" t="inlineStr">
        <is>
          <t>South</t>
        </is>
      </c>
      <c r="E151" s="25" t="inlineStr">
        <is>
          <t>Accessories</t>
        </is>
      </c>
      <c r="F151" s="25" t="inlineStr">
        <is>
          <t>USB-C Hub</t>
        </is>
      </c>
      <c r="G151" s="25" t="n">
        <v>3</v>
      </c>
      <c r="H151" s="27" t="n">
        <v>1800</v>
      </c>
      <c r="I151" s="28" t="n">
        <v>0.2</v>
      </c>
      <c r="J151" s="27" t="n">
        <v>980</v>
      </c>
      <c r="K151" s="27">
        <f>G151*H151*(1-I151)</f>
        <v/>
      </c>
      <c r="L151" s="27">
        <f>K151-G151*J151</f>
        <v/>
      </c>
    </row>
    <row r="152">
      <c r="A152" s="25" t="inlineStr">
        <is>
          <t>ORD-10386</t>
        </is>
      </c>
      <c r="B152" s="26" t="n">
        <v>45709</v>
      </c>
      <c r="C152" s="25">
        <f>MONTH(B152)</f>
        <v/>
      </c>
      <c r="D152" s="25" t="inlineStr">
        <is>
          <t>East</t>
        </is>
      </c>
      <c r="E152" s="25" t="inlineStr">
        <is>
          <t>Accessories</t>
        </is>
      </c>
      <c r="F152" s="25" t="inlineStr">
        <is>
          <t>USB-C Hub</t>
        </is>
      </c>
      <c r="G152" s="25" t="n">
        <v>3</v>
      </c>
      <c r="H152" s="27" t="n">
        <v>1800</v>
      </c>
      <c r="I152" s="28" t="n">
        <v>0</v>
      </c>
      <c r="J152" s="27" t="n">
        <v>980</v>
      </c>
      <c r="K152" s="27">
        <f>G152*H152*(1-I152)</f>
        <v/>
      </c>
      <c r="L152" s="27">
        <f>K152-G152*J152</f>
        <v/>
      </c>
    </row>
    <row r="153">
      <c r="A153" s="25" t="inlineStr">
        <is>
          <t>ORD-10424</t>
        </is>
      </c>
      <c r="B153" s="26" t="n">
        <v>45709</v>
      </c>
      <c r="C153" s="25">
        <f>MONTH(B153)</f>
        <v/>
      </c>
      <c r="D153" s="25" t="inlineStr">
        <is>
          <t>North</t>
        </is>
      </c>
      <c r="E153" s="25" t="inlineStr">
        <is>
          <t>Accessories</t>
        </is>
      </c>
      <c r="F153" s="25" t="inlineStr">
        <is>
          <t>Headphones</t>
        </is>
      </c>
      <c r="G153" s="25" t="n">
        <v>1</v>
      </c>
      <c r="H153" s="27" t="n">
        <v>4500</v>
      </c>
      <c r="I153" s="28" t="n">
        <v>0.1</v>
      </c>
      <c r="J153" s="27" t="n">
        <v>2600</v>
      </c>
      <c r="K153" s="27">
        <f>G153*H153*(1-I153)</f>
        <v/>
      </c>
      <c r="L153" s="27">
        <f>K153-G153*J153</f>
        <v/>
      </c>
    </row>
    <row r="154">
      <c r="A154" s="25" t="inlineStr">
        <is>
          <t>ORD-10976</t>
        </is>
      </c>
      <c r="B154" s="26" t="n">
        <v>45709</v>
      </c>
      <c r="C154" s="25">
        <f>MONTH(B154)</f>
        <v/>
      </c>
      <c r="D154" s="25" t="inlineStr">
        <is>
          <t>South</t>
        </is>
      </c>
      <c r="E154" s="25" t="inlineStr">
        <is>
          <t>Technology</t>
        </is>
      </c>
      <c r="F154" s="25" t="inlineStr">
        <is>
          <t>Wireless Mouse</t>
        </is>
      </c>
      <c r="G154" s="25" t="n">
        <v>4</v>
      </c>
      <c r="H154" s="27" t="n">
        <v>1200</v>
      </c>
      <c r="I154" s="28" t="n">
        <v>0.15</v>
      </c>
      <c r="J154" s="27" t="n">
        <v>650</v>
      </c>
      <c r="K154" s="27">
        <f>G154*H154*(1-I154)</f>
        <v/>
      </c>
      <c r="L154" s="27">
        <f>K154-G154*J154</f>
        <v/>
      </c>
    </row>
    <row r="155">
      <c r="A155" s="25" t="inlineStr">
        <is>
          <t>ORD-11005</t>
        </is>
      </c>
      <c r="B155" s="26" t="n">
        <v>45709</v>
      </c>
      <c r="C155" s="25">
        <f>MONTH(B155)</f>
        <v/>
      </c>
      <c r="D155" s="25" t="inlineStr">
        <is>
          <t>West</t>
        </is>
      </c>
      <c r="E155" s="25" t="inlineStr">
        <is>
          <t>Office Supplies</t>
        </is>
      </c>
      <c r="F155" s="25" t="inlineStr">
        <is>
          <t>Notebook Set</t>
        </is>
      </c>
      <c r="G155" s="25" t="n">
        <v>4</v>
      </c>
      <c r="H155" s="27" t="n">
        <v>450</v>
      </c>
      <c r="I155" s="28" t="n">
        <v>0.2</v>
      </c>
      <c r="J155" s="27" t="n">
        <v>190</v>
      </c>
      <c r="K155" s="27">
        <f>G155*H155*(1-I155)</f>
        <v/>
      </c>
      <c r="L155" s="27">
        <f>K155-G155*J155</f>
        <v/>
      </c>
    </row>
    <row r="156">
      <c r="A156" s="25" t="inlineStr">
        <is>
          <t>ORD-10218</t>
        </is>
      </c>
      <c r="B156" s="26" t="n">
        <v>45710</v>
      </c>
      <c r="C156" s="25">
        <f>MONTH(B156)</f>
        <v/>
      </c>
      <c r="D156" s="25" t="inlineStr">
        <is>
          <t>South</t>
        </is>
      </c>
      <c r="E156" s="25" t="inlineStr">
        <is>
          <t>Office Supplies</t>
        </is>
      </c>
      <c r="F156" s="25" t="inlineStr">
        <is>
          <t>Desk Organizer</t>
        </is>
      </c>
      <c r="G156" s="25" t="n">
        <v>1</v>
      </c>
      <c r="H156" s="27" t="n">
        <v>850</v>
      </c>
      <c r="I156" s="28" t="n">
        <v>0</v>
      </c>
      <c r="J156" s="27" t="n">
        <v>420</v>
      </c>
      <c r="K156" s="27">
        <f>G156*H156*(1-I156)</f>
        <v/>
      </c>
      <c r="L156" s="27">
        <f>K156-G156*J156</f>
        <v/>
      </c>
    </row>
    <row r="157">
      <c r="A157" s="25" t="inlineStr">
        <is>
          <t>ORD-10333</t>
        </is>
      </c>
      <c r="B157" s="26" t="n">
        <v>45710</v>
      </c>
      <c r="C157" s="25">
        <f>MONTH(B157)</f>
        <v/>
      </c>
      <c r="D157" s="25" t="inlineStr">
        <is>
          <t>North</t>
        </is>
      </c>
      <c r="E157" s="25" t="inlineStr">
        <is>
          <t>Technology</t>
        </is>
      </c>
      <c r="F157" s="25" t="inlineStr">
        <is>
          <t>Wireless Mouse</t>
        </is>
      </c>
      <c r="G157" s="25" t="n">
        <v>3</v>
      </c>
      <c r="H157" s="27" t="n">
        <v>1200</v>
      </c>
      <c r="I157" s="28" t="n">
        <v>0</v>
      </c>
      <c r="J157" s="27" t="n">
        <v>650</v>
      </c>
      <c r="K157" s="27">
        <f>G157*H157*(1-I157)</f>
        <v/>
      </c>
      <c r="L157" s="27">
        <f>K157-G157*J157</f>
        <v/>
      </c>
    </row>
    <row r="158">
      <c r="A158" s="25" t="inlineStr">
        <is>
          <t>ORD-10815</t>
        </is>
      </c>
      <c r="B158" s="26" t="n">
        <v>45710</v>
      </c>
      <c r="C158" s="25">
        <f>MONTH(B158)</f>
        <v/>
      </c>
      <c r="D158" s="25" t="inlineStr">
        <is>
          <t>North</t>
        </is>
      </c>
      <c r="E158" s="25" t="inlineStr">
        <is>
          <t>Office Supplies</t>
        </is>
      </c>
      <c r="F158" s="25" t="inlineStr">
        <is>
          <t>Notebook Set</t>
        </is>
      </c>
      <c r="G158" s="25" t="n">
        <v>7</v>
      </c>
      <c r="H158" s="27" t="n">
        <v>450</v>
      </c>
      <c r="I158" s="28" t="n">
        <v>0.05</v>
      </c>
      <c r="J158" s="27" t="n">
        <v>190</v>
      </c>
      <c r="K158" s="27">
        <f>G158*H158*(1-I158)</f>
        <v/>
      </c>
      <c r="L158" s="27">
        <f>K158-G158*J158</f>
        <v/>
      </c>
    </row>
    <row r="159">
      <c r="A159" s="25" t="inlineStr">
        <is>
          <t>ORD-11124</t>
        </is>
      </c>
      <c r="B159" s="26" t="n">
        <v>45710</v>
      </c>
      <c r="C159" s="25">
        <f>MONTH(B159)</f>
        <v/>
      </c>
      <c r="D159" s="25" t="inlineStr">
        <is>
          <t>South</t>
        </is>
      </c>
      <c r="E159" s="25" t="inlineStr">
        <is>
          <t>Accessories</t>
        </is>
      </c>
      <c r="F159" s="25" t="inlineStr">
        <is>
          <t>USB-C Hub</t>
        </is>
      </c>
      <c r="G159" s="25" t="n">
        <v>2</v>
      </c>
      <c r="H159" s="27" t="n">
        <v>1800</v>
      </c>
      <c r="I159" s="28" t="n">
        <v>0</v>
      </c>
      <c r="J159" s="27" t="n">
        <v>980</v>
      </c>
      <c r="K159" s="27">
        <f>G159*H159*(1-I159)</f>
        <v/>
      </c>
      <c r="L159" s="27">
        <f>K159-G159*J159</f>
        <v/>
      </c>
    </row>
    <row r="160">
      <c r="A160" s="25" t="inlineStr">
        <is>
          <t>ORD-10178</t>
        </is>
      </c>
      <c r="B160" s="26" t="n">
        <v>45711</v>
      </c>
      <c r="C160" s="25">
        <f>MONTH(B160)</f>
        <v/>
      </c>
      <c r="D160" s="25" t="inlineStr">
        <is>
          <t>East</t>
        </is>
      </c>
      <c r="E160" s="25" t="inlineStr">
        <is>
          <t>Office Supplies</t>
        </is>
      </c>
      <c r="F160" s="25" t="inlineStr">
        <is>
          <t>Printer Paper Box</t>
        </is>
      </c>
      <c r="G160" s="25" t="n">
        <v>2</v>
      </c>
      <c r="H160" s="27" t="n">
        <v>1600</v>
      </c>
      <c r="I160" s="28" t="n">
        <v>0.05</v>
      </c>
      <c r="J160" s="27" t="n">
        <v>1050</v>
      </c>
      <c r="K160" s="27">
        <f>G160*H160*(1-I160)</f>
        <v/>
      </c>
      <c r="L160" s="27">
        <f>K160-G160*J160</f>
        <v/>
      </c>
    </row>
    <row r="161">
      <c r="A161" s="25" t="inlineStr">
        <is>
          <t>ORD-10219</t>
        </is>
      </c>
      <c r="B161" s="26" t="n">
        <v>45711</v>
      </c>
      <c r="C161" s="25">
        <f>MONTH(B161)</f>
        <v/>
      </c>
      <c r="D161" s="25" t="inlineStr">
        <is>
          <t>East</t>
        </is>
      </c>
      <c r="E161" s="25" t="inlineStr">
        <is>
          <t>Accessories</t>
        </is>
      </c>
      <c r="F161" s="25" t="inlineStr">
        <is>
          <t>USB-C Hub</t>
        </is>
      </c>
      <c r="G161" s="25" t="n">
        <v>4</v>
      </c>
      <c r="H161" s="27" t="n">
        <v>1800</v>
      </c>
      <c r="I161" s="28" t="n">
        <v>0.05</v>
      </c>
      <c r="J161" s="27" t="n">
        <v>980</v>
      </c>
      <c r="K161" s="27">
        <f>G161*H161*(1-I161)</f>
        <v/>
      </c>
      <c r="L161" s="27">
        <f>K161-G161*J161</f>
        <v/>
      </c>
    </row>
    <row r="162">
      <c r="A162" s="25" t="inlineStr">
        <is>
          <t>ORD-10609</t>
        </is>
      </c>
      <c r="B162" s="26" t="n">
        <v>45711</v>
      </c>
      <c r="C162" s="25">
        <f>MONTH(B162)</f>
        <v/>
      </c>
      <c r="D162" s="25" t="inlineStr">
        <is>
          <t>South</t>
        </is>
      </c>
      <c r="E162" s="25" t="inlineStr">
        <is>
          <t>Office Supplies</t>
        </is>
      </c>
      <c r="F162" s="25" t="inlineStr">
        <is>
          <t>Desk Organizer</t>
        </is>
      </c>
      <c r="G162" s="25" t="n">
        <v>5</v>
      </c>
      <c r="H162" s="27" t="n">
        <v>850</v>
      </c>
      <c r="I162" s="28" t="n">
        <v>0</v>
      </c>
      <c r="J162" s="27" t="n">
        <v>420</v>
      </c>
      <c r="K162" s="27">
        <f>G162*H162*(1-I162)</f>
        <v/>
      </c>
      <c r="L162" s="27">
        <f>K162-G162*J162</f>
        <v/>
      </c>
    </row>
    <row r="163">
      <c r="A163" s="25" t="inlineStr">
        <is>
          <t>ORD-11098</t>
        </is>
      </c>
      <c r="B163" s="26" t="n">
        <v>45711</v>
      </c>
      <c r="C163" s="25">
        <f>MONTH(B163)</f>
        <v/>
      </c>
      <c r="D163" s="25" t="inlineStr">
        <is>
          <t>West</t>
        </is>
      </c>
      <c r="E163" s="25" t="inlineStr">
        <is>
          <t>Office Supplies</t>
        </is>
      </c>
      <c r="F163" s="25" t="inlineStr">
        <is>
          <t>Notebook Set</t>
        </is>
      </c>
      <c r="G163" s="25" t="n">
        <v>7</v>
      </c>
      <c r="H163" s="27" t="n">
        <v>450</v>
      </c>
      <c r="I163" s="28" t="n">
        <v>0</v>
      </c>
      <c r="J163" s="27" t="n">
        <v>190</v>
      </c>
      <c r="K163" s="27">
        <f>G163*H163*(1-I163)</f>
        <v/>
      </c>
      <c r="L163" s="27">
        <f>K163-G163*J163</f>
        <v/>
      </c>
    </row>
    <row r="164">
      <c r="A164" s="25" t="inlineStr">
        <is>
          <t>ORD-11024</t>
        </is>
      </c>
      <c r="B164" s="26" t="n">
        <v>45712</v>
      </c>
      <c r="C164" s="25">
        <f>MONTH(B164)</f>
        <v/>
      </c>
      <c r="D164" s="25" t="inlineStr">
        <is>
          <t>South</t>
        </is>
      </c>
      <c r="E164" s="25" t="inlineStr">
        <is>
          <t>Office Supplies</t>
        </is>
      </c>
      <c r="F164" s="25" t="inlineStr">
        <is>
          <t>Desk Organizer</t>
        </is>
      </c>
      <c r="G164" s="25" t="n">
        <v>2</v>
      </c>
      <c r="H164" s="27" t="n">
        <v>850</v>
      </c>
      <c r="I164" s="28" t="n">
        <v>0.2</v>
      </c>
      <c r="J164" s="27" t="n">
        <v>420</v>
      </c>
      <c r="K164" s="27">
        <f>G164*H164*(1-I164)</f>
        <v/>
      </c>
      <c r="L164" s="27">
        <f>K164-G164*J164</f>
        <v/>
      </c>
    </row>
    <row r="165">
      <c r="A165" s="25" t="inlineStr">
        <is>
          <t>ORD-11060</t>
        </is>
      </c>
      <c r="B165" s="26" t="n">
        <v>45713</v>
      </c>
      <c r="C165" s="25">
        <f>MONTH(B165)</f>
        <v/>
      </c>
      <c r="D165" s="25" t="inlineStr">
        <is>
          <t>East</t>
        </is>
      </c>
      <c r="E165" s="25" t="inlineStr">
        <is>
          <t>Accessories</t>
        </is>
      </c>
      <c r="F165" s="25" t="inlineStr">
        <is>
          <t>Webcam</t>
        </is>
      </c>
      <c r="G165" s="25" t="n">
        <v>2</v>
      </c>
      <c r="H165" s="27" t="n">
        <v>3200</v>
      </c>
      <c r="I165" s="28" t="n">
        <v>0.2</v>
      </c>
      <c r="J165" s="27" t="n">
        <v>1900</v>
      </c>
      <c r="K165" s="27">
        <f>G165*H165*(1-I165)</f>
        <v/>
      </c>
      <c r="L165" s="27">
        <f>K165-G165*J165</f>
        <v/>
      </c>
    </row>
    <row r="166">
      <c r="A166" s="25" t="inlineStr">
        <is>
          <t>ORD-10029</t>
        </is>
      </c>
      <c r="B166" s="26" t="n">
        <v>45714</v>
      </c>
      <c r="C166" s="25">
        <f>MONTH(B166)</f>
        <v/>
      </c>
      <c r="D166" s="25" t="inlineStr">
        <is>
          <t>South</t>
        </is>
      </c>
      <c r="E166" s="25" t="inlineStr">
        <is>
          <t>Technology</t>
        </is>
      </c>
      <c r="F166" s="25" t="inlineStr">
        <is>
          <t>Wireless Mouse</t>
        </is>
      </c>
      <c r="G166" s="25" t="n">
        <v>4</v>
      </c>
      <c r="H166" s="27" t="n">
        <v>1200</v>
      </c>
      <c r="I166" s="28" t="n">
        <v>0</v>
      </c>
      <c r="J166" s="27" t="n">
        <v>650</v>
      </c>
      <c r="K166" s="27">
        <f>G166*H166*(1-I166)</f>
        <v/>
      </c>
      <c r="L166" s="27">
        <f>K166-G166*J166</f>
        <v/>
      </c>
    </row>
    <row r="167">
      <c r="A167" s="25" t="inlineStr">
        <is>
          <t>ORD-10481</t>
        </is>
      </c>
      <c r="B167" s="26" t="n">
        <v>45714</v>
      </c>
      <c r="C167" s="25">
        <f>MONTH(B167)</f>
        <v/>
      </c>
      <c r="D167" s="25" t="inlineStr">
        <is>
          <t>South</t>
        </is>
      </c>
      <c r="E167" s="25" t="inlineStr">
        <is>
          <t>Office Supplies</t>
        </is>
      </c>
      <c r="F167" s="25" t="inlineStr">
        <is>
          <t>Printer Paper Box</t>
        </is>
      </c>
      <c r="G167" s="25" t="n">
        <v>6</v>
      </c>
      <c r="H167" s="27" t="n">
        <v>1600</v>
      </c>
      <c r="I167" s="28" t="n">
        <v>0.15</v>
      </c>
      <c r="J167" s="27" t="n">
        <v>1050</v>
      </c>
      <c r="K167" s="27">
        <f>G167*H167*(1-I167)</f>
        <v/>
      </c>
      <c r="L167" s="27">
        <f>K167-G167*J167</f>
        <v/>
      </c>
    </row>
    <row r="168">
      <c r="A168" s="25" t="inlineStr">
        <is>
          <t>ORD-10630</t>
        </is>
      </c>
      <c r="B168" s="26" t="n">
        <v>45715</v>
      </c>
      <c r="C168" s="25">
        <f>MONTH(B168)</f>
        <v/>
      </c>
      <c r="D168" s="25" t="inlineStr">
        <is>
          <t>West</t>
        </is>
      </c>
      <c r="E168" s="25" t="inlineStr">
        <is>
          <t>Office Supplies</t>
        </is>
      </c>
      <c r="F168" s="25" t="inlineStr">
        <is>
          <t>Printer Paper Box</t>
        </is>
      </c>
      <c r="G168" s="25" t="n">
        <v>6</v>
      </c>
      <c r="H168" s="27" t="n">
        <v>1600</v>
      </c>
      <c r="I168" s="28" t="n">
        <v>0.15</v>
      </c>
      <c r="J168" s="27" t="n">
        <v>1050</v>
      </c>
      <c r="K168" s="27">
        <f>G168*H168*(1-I168)</f>
        <v/>
      </c>
      <c r="L168" s="27">
        <f>K168-G168*J168</f>
        <v/>
      </c>
    </row>
    <row r="169">
      <c r="A169" s="25" t="inlineStr">
        <is>
          <t>ORD-11019</t>
        </is>
      </c>
      <c r="B169" s="26" t="n">
        <v>45715</v>
      </c>
      <c r="C169" s="25">
        <f>MONTH(B169)</f>
        <v/>
      </c>
      <c r="D169" s="25" t="inlineStr">
        <is>
          <t>West</t>
        </is>
      </c>
      <c r="E169" s="25" t="inlineStr">
        <is>
          <t>Technology</t>
        </is>
      </c>
      <c r="F169" s="25" t="inlineStr">
        <is>
          <t>Wireless Mouse</t>
        </is>
      </c>
      <c r="G169" s="25" t="n">
        <v>2</v>
      </c>
      <c r="H169" s="27" t="n">
        <v>1200</v>
      </c>
      <c r="I169" s="28" t="n">
        <v>0.2</v>
      </c>
      <c r="J169" s="27" t="n">
        <v>650</v>
      </c>
      <c r="K169" s="27">
        <f>G169*H169*(1-I169)</f>
        <v/>
      </c>
      <c r="L169" s="27">
        <f>K169-G169*J169</f>
        <v/>
      </c>
    </row>
    <row r="170">
      <c r="A170" s="25" t="inlineStr">
        <is>
          <t>ORD-11155</t>
        </is>
      </c>
      <c r="B170" s="26" t="n">
        <v>45715</v>
      </c>
      <c r="C170" s="25">
        <f>MONTH(B170)</f>
        <v/>
      </c>
      <c r="D170" s="25" t="inlineStr">
        <is>
          <t>South</t>
        </is>
      </c>
      <c r="E170" s="25" t="inlineStr">
        <is>
          <t>Technology</t>
        </is>
      </c>
      <c r="F170" s="25" t="inlineStr">
        <is>
          <t>Monitor 24"</t>
        </is>
      </c>
      <c r="G170" s="25" t="n">
        <v>1</v>
      </c>
      <c r="H170" s="27" t="n">
        <v>11500</v>
      </c>
      <c r="I170" s="28" t="n">
        <v>0</v>
      </c>
      <c r="J170" s="27" t="n">
        <v>8200</v>
      </c>
      <c r="K170" s="27">
        <f>G170*H170*(1-I170)</f>
        <v/>
      </c>
      <c r="L170" s="27">
        <f>K170-G170*J170</f>
        <v/>
      </c>
    </row>
    <row r="171">
      <c r="A171" s="25" t="inlineStr">
        <is>
          <t>ORD-10803</t>
        </is>
      </c>
      <c r="B171" s="26" t="n">
        <v>45716</v>
      </c>
      <c r="C171" s="25">
        <f>MONTH(B171)</f>
        <v/>
      </c>
      <c r="D171" s="25" t="inlineStr">
        <is>
          <t>North</t>
        </is>
      </c>
      <c r="E171" s="25" t="inlineStr">
        <is>
          <t>Office Supplies</t>
        </is>
      </c>
      <c r="F171" s="25" t="inlineStr">
        <is>
          <t>Notebook Set</t>
        </is>
      </c>
      <c r="G171" s="25" t="n">
        <v>1</v>
      </c>
      <c r="H171" s="27" t="n">
        <v>450</v>
      </c>
      <c r="I171" s="28" t="n">
        <v>0.15</v>
      </c>
      <c r="J171" s="27" t="n">
        <v>190</v>
      </c>
      <c r="K171" s="27">
        <f>G171*H171*(1-I171)</f>
        <v/>
      </c>
      <c r="L171" s="27">
        <f>K171-G171*J171</f>
        <v/>
      </c>
    </row>
    <row r="172">
      <c r="A172" s="25" t="inlineStr">
        <is>
          <t>ORD-11112</t>
        </is>
      </c>
      <c r="B172" s="26" t="n">
        <v>45716</v>
      </c>
      <c r="C172" s="25">
        <f>MONTH(B172)</f>
        <v/>
      </c>
      <c r="D172" s="25" t="inlineStr">
        <is>
          <t>West</t>
        </is>
      </c>
      <c r="E172" s="25" t="inlineStr">
        <is>
          <t>Technology</t>
        </is>
      </c>
      <c r="F172" s="25" t="inlineStr">
        <is>
          <t>Wireless Mouse</t>
        </is>
      </c>
      <c r="G172" s="25" t="n">
        <v>5</v>
      </c>
      <c r="H172" s="27" t="n">
        <v>1200</v>
      </c>
      <c r="I172" s="28" t="n">
        <v>0.05</v>
      </c>
      <c r="J172" s="27" t="n">
        <v>650</v>
      </c>
      <c r="K172" s="27">
        <f>G172*H172*(1-I172)</f>
        <v/>
      </c>
      <c r="L172" s="27">
        <f>K172-G172*J172</f>
        <v/>
      </c>
    </row>
    <row r="173">
      <c r="A173" s="25" t="inlineStr">
        <is>
          <t>ORD-10691</t>
        </is>
      </c>
      <c r="B173" s="26" t="n">
        <v>45717</v>
      </c>
      <c r="C173" s="25">
        <f>MONTH(B173)</f>
        <v/>
      </c>
      <c r="D173" s="25" t="inlineStr">
        <is>
          <t>South</t>
        </is>
      </c>
      <c r="E173" s="25" t="inlineStr">
        <is>
          <t>Technology</t>
        </is>
      </c>
      <c r="F173" s="25" t="inlineStr">
        <is>
          <t>Monitor 24"</t>
        </is>
      </c>
      <c r="G173" s="25" t="n">
        <v>2</v>
      </c>
      <c r="H173" s="27" t="n">
        <v>11500</v>
      </c>
      <c r="I173" s="28" t="n">
        <v>0</v>
      </c>
      <c r="J173" s="27" t="n">
        <v>8200</v>
      </c>
      <c r="K173" s="27">
        <f>G173*H173*(1-I173)</f>
        <v/>
      </c>
      <c r="L173" s="27">
        <f>K173-G173*J173</f>
        <v/>
      </c>
    </row>
    <row r="174">
      <c r="A174" s="25" t="inlineStr">
        <is>
          <t>ORD-10718</t>
        </is>
      </c>
      <c r="B174" s="26" t="n">
        <v>45717</v>
      </c>
      <c r="C174" s="25">
        <f>MONTH(B174)</f>
        <v/>
      </c>
      <c r="D174" s="25" t="inlineStr">
        <is>
          <t>North</t>
        </is>
      </c>
      <c r="E174" s="25" t="inlineStr">
        <is>
          <t>Furniture</t>
        </is>
      </c>
      <c r="F174" s="25" t="inlineStr">
        <is>
          <t>Office Chair</t>
        </is>
      </c>
      <c r="G174" s="25" t="n">
        <v>2</v>
      </c>
      <c r="H174" s="27" t="n">
        <v>8500</v>
      </c>
      <c r="I174" s="28" t="n">
        <v>0</v>
      </c>
      <c r="J174" s="27" t="n">
        <v>5600</v>
      </c>
      <c r="K174" s="27">
        <f>G174*H174*(1-I174)</f>
        <v/>
      </c>
      <c r="L174" s="27">
        <f>K174-G174*J174</f>
        <v/>
      </c>
    </row>
    <row r="175">
      <c r="A175" s="25" t="inlineStr">
        <is>
          <t>ORD-11143</t>
        </is>
      </c>
      <c r="B175" s="26" t="n">
        <v>45718</v>
      </c>
      <c r="C175" s="25">
        <f>MONTH(B175)</f>
        <v/>
      </c>
      <c r="D175" s="25" t="inlineStr">
        <is>
          <t>North</t>
        </is>
      </c>
      <c r="E175" s="25" t="inlineStr">
        <is>
          <t>Technology</t>
        </is>
      </c>
      <c r="F175" s="25" t="inlineStr">
        <is>
          <t>Mechanical Keyboard</t>
        </is>
      </c>
      <c r="G175" s="25" t="n">
        <v>1</v>
      </c>
      <c r="H175" s="27" t="n">
        <v>4200</v>
      </c>
      <c r="I175" s="28" t="n">
        <v>0.2</v>
      </c>
      <c r="J175" s="27" t="n">
        <v>2500</v>
      </c>
      <c r="K175" s="27">
        <f>G175*H175*(1-I175)</f>
        <v/>
      </c>
      <c r="L175" s="27">
        <f>K175-G175*J175</f>
        <v/>
      </c>
    </row>
    <row r="176">
      <c r="A176" s="25" t="inlineStr">
        <is>
          <t>ORD-10077</t>
        </is>
      </c>
      <c r="B176" s="26" t="n">
        <v>45719</v>
      </c>
      <c r="C176" s="25">
        <f>MONTH(B176)</f>
        <v/>
      </c>
      <c r="D176" s="25" t="inlineStr">
        <is>
          <t>South</t>
        </is>
      </c>
      <c r="E176" s="25" t="inlineStr">
        <is>
          <t>Office Supplies</t>
        </is>
      </c>
      <c r="F176" s="25" t="inlineStr">
        <is>
          <t>Notebook Set</t>
        </is>
      </c>
      <c r="G176" s="25" t="n">
        <v>4</v>
      </c>
      <c r="H176" s="27" t="n">
        <v>450</v>
      </c>
      <c r="I176" s="28" t="n">
        <v>0.1</v>
      </c>
      <c r="J176" s="27" t="n">
        <v>190</v>
      </c>
      <c r="K176" s="27">
        <f>G176*H176*(1-I176)</f>
        <v/>
      </c>
      <c r="L176" s="27">
        <f>K176-G176*J176</f>
        <v/>
      </c>
    </row>
    <row r="177">
      <c r="A177" s="25" t="inlineStr">
        <is>
          <t>ORD-10102</t>
        </is>
      </c>
      <c r="B177" s="26" t="n">
        <v>45719</v>
      </c>
      <c r="C177" s="25">
        <f>MONTH(B177)</f>
        <v/>
      </c>
      <c r="D177" s="25" t="inlineStr">
        <is>
          <t>East</t>
        </is>
      </c>
      <c r="E177" s="25" t="inlineStr">
        <is>
          <t>Accessories</t>
        </is>
      </c>
      <c r="F177" s="25" t="inlineStr">
        <is>
          <t>Webcam</t>
        </is>
      </c>
      <c r="G177" s="25" t="n">
        <v>2</v>
      </c>
      <c r="H177" s="27" t="n">
        <v>3200</v>
      </c>
      <c r="I177" s="28" t="n">
        <v>0.1</v>
      </c>
      <c r="J177" s="27" t="n">
        <v>1900</v>
      </c>
      <c r="K177" s="27">
        <f>G177*H177*(1-I177)</f>
        <v/>
      </c>
      <c r="L177" s="27">
        <f>K177-G177*J177</f>
        <v/>
      </c>
    </row>
    <row r="178">
      <c r="A178" s="25" t="inlineStr">
        <is>
          <t>ORD-10423</t>
        </is>
      </c>
      <c r="B178" s="26" t="n">
        <v>45719</v>
      </c>
      <c r="C178" s="25">
        <f>MONTH(B178)</f>
        <v/>
      </c>
      <c r="D178" s="25" t="inlineStr">
        <is>
          <t>West</t>
        </is>
      </c>
      <c r="E178" s="25" t="inlineStr">
        <is>
          <t>Office Supplies</t>
        </is>
      </c>
      <c r="F178" s="25" t="inlineStr">
        <is>
          <t>Notebook Set</t>
        </is>
      </c>
      <c r="G178" s="25" t="n">
        <v>6</v>
      </c>
      <c r="H178" s="27" t="n">
        <v>450</v>
      </c>
      <c r="I178" s="28" t="n">
        <v>0</v>
      </c>
      <c r="J178" s="27" t="n">
        <v>190</v>
      </c>
      <c r="K178" s="27">
        <f>G178*H178*(1-I178)</f>
        <v/>
      </c>
      <c r="L178" s="27">
        <f>K178-G178*J178</f>
        <v/>
      </c>
    </row>
    <row r="179">
      <c r="A179" s="25" t="inlineStr">
        <is>
          <t>ORD-10769</t>
        </is>
      </c>
      <c r="B179" s="26" t="n">
        <v>45719</v>
      </c>
      <c r="C179" s="25">
        <f>MONTH(B179)</f>
        <v/>
      </c>
      <c r="D179" s="25" t="inlineStr">
        <is>
          <t>West</t>
        </is>
      </c>
      <c r="E179" s="25" t="inlineStr">
        <is>
          <t>Office Supplies</t>
        </is>
      </c>
      <c r="F179" s="25" t="inlineStr">
        <is>
          <t>Desk Organizer</t>
        </is>
      </c>
      <c r="G179" s="25" t="n">
        <v>1</v>
      </c>
      <c r="H179" s="27" t="n">
        <v>850</v>
      </c>
      <c r="I179" s="28" t="n">
        <v>0</v>
      </c>
      <c r="J179" s="27" t="n">
        <v>420</v>
      </c>
      <c r="K179" s="27">
        <f>G179*H179*(1-I179)</f>
        <v/>
      </c>
      <c r="L179" s="27">
        <f>K179-G179*J179</f>
        <v/>
      </c>
    </row>
    <row r="180">
      <c r="A180" s="25" t="inlineStr">
        <is>
          <t>ORD-10289</t>
        </is>
      </c>
      <c r="B180" s="26" t="n">
        <v>45720</v>
      </c>
      <c r="C180" s="25">
        <f>MONTH(B180)</f>
        <v/>
      </c>
      <c r="D180" s="25" t="inlineStr">
        <is>
          <t>West</t>
        </is>
      </c>
      <c r="E180" s="25" t="inlineStr">
        <is>
          <t>Accessories</t>
        </is>
      </c>
      <c r="F180" s="25" t="inlineStr">
        <is>
          <t>Headphones</t>
        </is>
      </c>
      <c r="G180" s="25" t="n">
        <v>1</v>
      </c>
      <c r="H180" s="27" t="n">
        <v>4500</v>
      </c>
      <c r="I180" s="28" t="n">
        <v>0</v>
      </c>
      <c r="J180" s="27" t="n">
        <v>2600</v>
      </c>
      <c r="K180" s="27">
        <f>G180*H180*(1-I180)</f>
        <v/>
      </c>
      <c r="L180" s="27">
        <f>K180-G180*J180</f>
        <v/>
      </c>
    </row>
    <row r="181">
      <c r="A181" s="25" t="inlineStr">
        <is>
          <t>ORD-10381</t>
        </is>
      </c>
      <c r="B181" s="26" t="n">
        <v>45720</v>
      </c>
      <c r="C181" s="25">
        <f>MONTH(B181)</f>
        <v/>
      </c>
      <c r="D181" s="25" t="inlineStr">
        <is>
          <t>South</t>
        </is>
      </c>
      <c r="E181" s="25" t="inlineStr">
        <is>
          <t>Technology</t>
        </is>
      </c>
      <c r="F181" s="25" t="inlineStr">
        <is>
          <t>Mechanical Keyboard</t>
        </is>
      </c>
      <c r="G181" s="25" t="n">
        <v>3</v>
      </c>
      <c r="H181" s="27" t="n">
        <v>4200</v>
      </c>
      <c r="I181" s="28" t="n">
        <v>0.15</v>
      </c>
      <c r="J181" s="27" t="n">
        <v>2500</v>
      </c>
      <c r="K181" s="27">
        <f>G181*H181*(1-I181)</f>
        <v/>
      </c>
      <c r="L181" s="27">
        <f>K181-G181*J181</f>
        <v/>
      </c>
    </row>
    <row r="182">
      <c r="A182" s="25" t="inlineStr">
        <is>
          <t>ORD-10323</t>
        </is>
      </c>
      <c r="B182" s="26" t="n">
        <v>45721</v>
      </c>
      <c r="C182" s="25">
        <f>MONTH(B182)</f>
        <v/>
      </c>
      <c r="D182" s="25" t="inlineStr">
        <is>
          <t>North</t>
        </is>
      </c>
      <c r="E182" s="25" t="inlineStr">
        <is>
          <t>Accessories</t>
        </is>
      </c>
      <c r="F182" s="25" t="inlineStr">
        <is>
          <t>Webcam</t>
        </is>
      </c>
      <c r="G182" s="25" t="n">
        <v>3</v>
      </c>
      <c r="H182" s="27" t="n">
        <v>3200</v>
      </c>
      <c r="I182" s="28" t="n">
        <v>0.2</v>
      </c>
      <c r="J182" s="27" t="n">
        <v>1900</v>
      </c>
      <c r="K182" s="27">
        <f>G182*H182*(1-I182)</f>
        <v/>
      </c>
      <c r="L182" s="27">
        <f>K182-G182*J182</f>
        <v/>
      </c>
    </row>
    <row r="183">
      <c r="A183" s="25" t="inlineStr">
        <is>
          <t>ORD-10008</t>
        </is>
      </c>
      <c r="B183" s="26" t="n">
        <v>45722</v>
      </c>
      <c r="C183" s="25">
        <f>MONTH(B183)</f>
        <v/>
      </c>
      <c r="D183" s="25" t="inlineStr">
        <is>
          <t>South</t>
        </is>
      </c>
      <c r="E183" s="25" t="inlineStr">
        <is>
          <t>Technology</t>
        </is>
      </c>
      <c r="F183" s="25" t="inlineStr">
        <is>
          <t>Wireless Mouse</t>
        </is>
      </c>
      <c r="G183" s="25" t="n">
        <v>4</v>
      </c>
      <c r="H183" s="27" t="n">
        <v>1200</v>
      </c>
      <c r="I183" s="28" t="n">
        <v>0.1</v>
      </c>
      <c r="J183" s="27" t="n">
        <v>650</v>
      </c>
      <c r="K183" s="27">
        <f>G183*H183*(1-I183)</f>
        <v/>
      </c>
      <c r="L183" s="27">
        <f>K183-G183*J183</f>
        <v/>
      </c>
    </row>
    <row r="184">
      <c r="A184" s="25" t="inlineStr">
        <is>
          <t>ORD-10216</t>
        </is>
      </c>
      <c r="B184" s="26" t="n">
        <v>45722</v>
      </c>
      <c r="C184" s="25">
        <f>MONTH(B184)</f>
        <v/>
      </c>
      <c r="D184" s="25" t="inlineStr">
        <is>
          <t>West</t>
        </is>
      </c>
      <c r="E184" s="25" t="inlineStr">
        <is>
          <t>Accessories</t>
        </is>
      </c>
      <c r="F184" s="25" t="inlineStr">
        <is>
          <t>USB-C Hub</t>
        </is>
      </c>
      <c r="G184" s="25" t="n">
        <v>4</v>
      </c>
      <c r="H184" s="27" t="n">
        <v>1800</v>
      </c>
      <c r="I184" s="28" t="n">
        <v>0.2</v>
      </c>
      <c r="J184" s="27" t="n">
        <v>980</v>
      </c>
      <c r="K184" s="27">
        <f>G184*H184*(1-I184)</f>
        <v/>
      </c>
      <c r="L184" s="27">
        <f>K184-G184*J184</f>
        <v/>
      </c>
    </row>
    <row r="185">
      <c r="A185" s="25" t="inlineStr">
        <is>
          <t>ORD-10335</t>
        </is>
      </c>
      <c r="B185" s="26" t="n">
        <v>45722</v>
      </c>
      <c r="C185" s="25">
        <f>MONTH(B185)</f>
        <v/>
      </c>
      <c r="D185" s="25" t="inlineStr">
        <is>
          <t>North</t>
        </is>
      </c>
      <c r="E185" s="25" t="inlineStr">
        <is>
          <t>Technology</t>
        </is>
      </c>
      <c r="F185" s="25" t="inlineStr">
        <is>
          <t>Mechanical Keyboard</t>
        </is>
      </c>
      <c r="G185" s="25" t="n">
        <v>1</v>
      </c>
      <c r="H185" s="27" t="n">
        <v>4200</v>
      </c>
      <c r="I185" s="28" t="n">
        <v>0.15</v>
      </c>
      <c r="J185" s="27" t="n">
        <v>2500</v>
      </c>
      <c r="K185" s="27">
        <f>G185*H185*(1-I185)</f>
        <v/>
      </c>
      <c r="L185" s="27">
        <f>K185-G185*J185</f>
        <v/>
      </c>
    </row>
    <row r="186">
      <c r="A186" s="25" t="inlineStr">
        <is>
          <t>ORD-10393</t>
        </is>
      </c>
      <c r="B186" s="26" t="n">
        <v>45722</v>
      </c>
      <c r="C186" s="25">
        <f>MONTH(B186)</f>
        <v/>
      </c>
      <c r="D186" s="25" t="inlineStr">
        <is>
          <t>West</t>
        </is>
      </c>
      <c r="E186" s="25" t="inlineStr">
        <is>
          <t>Accessories</t>
        </is>
      </c>
      <c r="F186" s="25" t="inlineStr">
        <is>
          <t>Webcam</t>
        </is>
      </c>
      <c r="G186" s="25" t="n">
        <v>3</v>
      </c>
      <c r="H186" s="27" t="n">
        <v>3200</v>
      </c>
      <c r="I186" s="28" t="n">
        <v>0</v>
      </c>
      <c r="J186" s="27" t="n">
        <v>1900</v>
      </c>
      <c r="K186" s="27">
        <f>G186*H186*(1-I186)</f>
        <v/>
      </c>
      <c r="L186" s="27">
        <f>K186-G186*J186</f>
        <v/>
      </c>
    </row>
    <row r="187">
      <c r="A187" s="25" t="inlineStr">
        <is>
          <t>ORD-10883</t>
        </is>
      </c>
      <c r="B187" s="26" t="n">
        <v>45722</v>
      </c>
      <c r="C187" s="25">
        <f>MONTH(B187)</f>
        <v/>
      </c>
      <c r="D187" s="25" t="inlineStr">
        <is>
          <t>West</t>
        </is>
      </c>
      <c r="E187" s="25" t="inlineStr">
        <is>
          <t>Technology</t>
        </is>
      </c>
      <c r="F187" s="25" t="inlineStr">
        <is>
          <t>Mechanical Keyboard</t>
        </is>
      </c>
      <c r="G187" s="25" t="n">
        <v>2</v>
      </c>
      <c r="H187" s="27" t="n">
        <v>4200</v>
      </c>
      <c r="I187" s="28" t="n">
        <v>0.2</v>
      </c>
      <c r="J187" s="27" t="n">
        <v>2500</v>
      </c>
      <c r="K187" s="27">
        <f>G187*H187*(1-I187)</f>
        <v/>
      </c>
      <c r="L187" s="27">
        <f>K187-G187*J187</f>
        <v/>
      </c>
    </row>
    <row r="188">
      <c r="A188" s="25" t="inlineStr">
        <is>
          <t>ORD-11027</t>
        </is>
      </c>
      <c r="B188" s="26" t="n">
        <v>45722</v>
      </c>
      <c r="C188" s="25">
        <f>MONTH(B188)</f>
        <v/>
      </c>
      <c r="D188" s="25" t="inlineStr">
        <is>
          <t>West</t>
        </is>
      </c>
      <c r="E188" s="25" t="inlineStr">
        <is>
          <t>Accessories</t>
        </is>
      </c>
      <c r="F188" s="25" t="inlineStr">
        <is>
          <t>Headphones</t>
        </is>
      </c>
      <c r="G188" s="25" t="n">
        <v>3</v>
      </c>
      <c r="H188" s="27" t="n">
        <v>4500</v>
      </c>
      <c r="I188" s="28" t="n">
        <v>0.2</v>
      </c>
      <c r="J188" s="27" t="n">
        <v>2600</v>
      </c>
      <c r="K188" s="27">
        <f>G188*H188*(1-I188)</f>
        <v/>
      </c>
      <c r="L188" s="27">
        <f>K188-G188*J188</f>
        <v/>
      </c>
    </row>
    <row r="189">
      <c r="A189" s="25" t="inlineStr">
        <is>
          <t>ORD-10301</t>
        </is>
      </c>
      <c r="B189" s="26" t="n">
        <v>45723</v>
      </c>
      <c r="C189" s="25">
        <f>MONTH(B189)</f>
        <v/>
      </c>
      <c r="D189" s="25" t="inlineStr">
        <is>
          <t>East</t>
        </is>
      </c>
      <c r="E189" s="25" t="inlineStr">
        <is>
          <t>Technology</t>
        </is>
      </c>
      <c r="F189" s="25" t="inlineStr">
        <is>
          <t>Mechanical Keyboard</t>
        </is>
      </c>
      <c r="G189" s="25" t="n">
        <v>1</v>
      </c>
      <c r="H189" s="27" t="n">
        <v>4200</v>
      </c>
      <c r="I189" s="28" t="n">
        <v>0</v>
      </c>
      <c r="J189" s="27" t="n">
        <v>2500</v>
      </c>
      <c r="K189" s="27">
        <f>G189*H189*(1-I189)</f>
        <v/>
      </c>
      <c r="L189" s="27">
        <f>K189-G189*J189</f>
        <v/>
      </c>
    </row>
    <row r="190">
      <c r="A190" s="25" t="inlineStr">
        <is>
          <t>ORD-10360</t>
        </is>
      </c>
      <c r="B190" s="26" t="n">
        <v>45723</v>
      </c>
      <c r="C190" s="25">
        <f>MONTH(B190)</f>
        <v/>
      </c>
      <c r="D190" s="25" t="inlineStr">
        <is>
          <t>West</t>
        </is>
      </c>
      <c r="E190" s="25" t="inlineStr">
        <is>
          <t>Office Supplies</t>
        </is>
      </c>
      <c r="F190" s="25" t="inlineStr">
        <is>
          <t>Desk Organizer</t>
        </is>
      </c>
      <c r="G190" s="25" t="n">
        <v>3</v>
      </c>
      <c r="H190" s="27" t="n">
        <v>850</v>
      </c>
      <c r="I190" s="28" t="n">
        <v>0.1</v>
      </c>
      <c r="J190" s="27" t="n">
        <v>420</v>
      </c>
      <c r="K190" s="27">
        <f>G190*H190*(1-I190)</f>
        <v/>
      </c>
      <c r="L190" s="27">
        <f>K190-G190*J190</f>
        <v/>
      </c>
    </row>
    <row r="191">
      <c r="A191" s="25" t="inlineStr">
        <is>
          <t>ORD-10861</t>
        </is>
      </c>
      <c r="B191" s="26" t="n">
        <v>45723</v>
      </c>
      <c r="C191" s="25">
        <f>MONTH(B191)</f>
        <v/>
      </c>
      <c r="D191" s="25" t="inlineStr">
        <is>
          <t>North</t>
        </is>
      </c>
      <c r="E191" s="25" t="inlineStr">
        <is>
          <t>Furniture</t>
        </is>
      </c>
      <c r="F191" s="25" t="inlineStr">
        <is>
          <t>Bookshelf</t>
        </is>
      </c>
      <c r="G191" s="25" t="n">
        <v>2</v>
      </c>
      <c r="H191" s="27" t="n">
        <v>6200</v>
      </c>
      <c r="I191" s="28" t="n">
        <v>0.05</v>
      </c>
      <c r="J191" s="27" t="n">
        <v>4100</v>
      </c>
      <c r="K191" s="27">
        <f>G191*H191*(1-I191)</f>
        <v/>
      </c>
      <c r="L191" s="27">
        <f>K191-G191*J191</f>
        <v/>
      </c>
    </row>
    <row r="192">
      <c r="A192" s="25" t="inlineStr">
        <is>
          <t>ORD-11087</t>
        </is>
      </c>
      <c r="B192" s="26" t="n">
        <v>45723</v>
      </c>
      <c r="C192" s="25">
        <f>MONTH(B192)</f>
        <v/>
      </c>
      <c r="D192" s="25" t="inlineStr">
        <is>
          <t>North</t>
        </is>
      </c>
      <c r="E192" s="25" t="inlineStr">
        <is>
          <t>Accessories</t>
        </is>
      </c>
      <c r="F192" s="25" t="inlineStr">
        <is>
          <t>USB-C Hub</t>
        </is>
      </c>
      <c r="G192" s="25" t="n">
        <v>4</v>
      </c>
      <c r="H192" s="27" t="n">
        <v>1800</v>
      </c>
      <c r="I192" s="28" t="n">
        <v>0</v>
      </c>
      <c r="J192" s="27" t="n">
        <v>980</v>
      </c>
      <c r="K192" s="27">
        <f>G192*H192*(1-I192)</f>
        <v/>
      </c>
      <c r="L192" s="27">
        <f>K192-G192*J192</f>
        <v/>
      </c>
    </row>
    <row r="193">
      <c r="A193" s="25" t="inlineStr">
        <is>
          <t>ORD-10350</t>
        </is>
      </c>
      <c r="B193" s="26" t="n">
        <v>45724</v>
      </c>
      <c r="C193" s="25">
        <f>MONTH(B193)</f>
        <v/>
      </c>
      <c r="D193" s="25" t="inlineStr">
        <is>
          <t>South</t>
        </is>
      </c>
      <c r="E193" s="25" t="inlineStr">
        <is>
          <t>Office Supplies</t>
        </is>
      </c>
      <c r="F193" s="25" t="inlineStr">
        <is>
          <t>Notebook Set</t>
        </is>
      </c>
      <c r="G193" s="25" t="n">
        <v>6</v>
      </c>
      <c r="H193" s="27" t="n">
        <v>450</v>
      </c>
      <c r="I193" s="28" t="n">
        <v>0</v>
      </c>
      <c r="J193" s="27" t="n">
        <v>190</v>
      </c>
      <c r="K193" s="27">
        <f>G193*H193*(1-I193)</f>
        <v/>
      </c>
      <c r="L193" s="27">
        <f>K193-G193*J193</f>
        <v/>
      </c>
    </row>
    <row r="194">
      <c r="A194" s="25" t="inlineStr">
        <is>
          <t>ORD-10407</t>
        </is>
      </c>
      <c r="B194" s="26" t="n">
        <v>45724</v>
      </c>
      <c r="C194" s="25">
        <f>MONTH(B194)</f>
        <v/>
      </c>
      <c r="D194" s="25" t="inlineStr">
        <is>
          <t>South</t>
        </is>
      </c>
      <c r="E194" s="25" t="inlineStr">
        <is>
          <t>Accessories</t>
        </is>
      </c>
      <c r="F194" s="25" t="inlineStr">
        <is>
          <t>Webcam</t>
        </is>
      </c>
      <c r="G194" s="25" t="n">
        <v>2</v>
      </c>
      <c r="H194" s="27" t="n">
        <v>3200</v>
      </c>
      <c r="I194" s="28" t="n">
        <v>0</v>
      </c>
      <c r="J194" s="27" t="n">
        <v>1900</v>
      </c>
      <c r="K194" s="27">
        <f>G194*H194*(1-I194)</f>
        <v/>
      </c>
      <c r="L194" s="27">
        <f>K194-G194*J194</f>
        <v/>
      </c>
    </row>
    <row r="195">
      <c r="A195" s="25" t="inlineStr">
        <is>
          <t>ORD-10856</t>
        </is>
      </c>
      <c r="B195" s="26" t="n">
        <v>45724</v>
      </c>
      <c r="C195" s="25">
        <f>MONTH(B195)</f>
        <v/>
      </c>
      <c r="D195" s="25" t="inlineStr">
        <is>
          <t>West</t>
        </is>
      </c>
      <c r="E195" s="25" t="inlineStr">
        <is>
          <t>Furniture</t>
        </is>
      </c>
      <c r="F195" s="25" t="inlineStr">
        <is>
          <t>Standing Desk</t>
        </is>
      </c>
      <c r="G195" s="25" t="n">
        <v>2</v>
      </c>
      <c r="H195" s="27" t="n">
        <v>19500</v>
      </c>
      <c r="I195" s="28" t="n">
        <v>0</v>
      </c>
      <c r="J195" s="27" t="n">
        <v>13800</v>
      </c>
      <c r="K195" s="27">
        <f>G195*H195*(1-I195)</f>
        <v/>
      </c>
      <c r="L195" s="27">
        <f>K195-G195*J195</f>
        <v/>
      </c>
    </row>
    <row r="196">
      <c r="A196" s="25" t="inlineStr">
        <is>
          <t>ORD-10297</t>
        </is>
      </c>
      <c r="B196" s="26" t="n">
        <v>45725</v>
      </c>
      <c r="C196" s="25">
        <f>MONTH(B196)</f>
        <v/>
      </c>
      <c r="D196" s="25" t="inlineStr">
        <is>
          <t>West</t>
        </is>
      </c>
      <c r="E196" s="25" t="inlineStr">
        <is>
          <t>Technology</t>
        </is>
      </c>
      <c r="F196" s="25" t="inlineStr">
        <is>
          <t>Monitor 24"</t>
        </is>
      </c>
      <c r="G196" s="25" t="n">
        <v>1</v>
      </c>
      <c r="H196" s="27" t="n">
        <v>11500</v>
      </c>
      <c r="I196" s="28" t="n">
        <v>0</v>
      </c>
      <c r="J196" s="27" t="n">
        <v>8200</v>
      </c>
      <c r="K196" s="27">
        <f>G196*H196*(1-I196)</f>
        <v/>
      </c>
      <c r="L196" s="27">
        <f>K196-G196*J196</f>
        <v/>
      </c>
    </row>
    <row r="197">
      <c r="A197" s="25" t="inlineStr">
        <is>
          <t>ORD-10422</t>
        </is>
      </c>
      <c r="B197" s="26" t="n">
        <v>45725</v>
      </c>
      <c r="C197" s="25">
        <f>MONTH(B197)</f>
        <v/>
      </c>
      <c r="D197" s="25" t="inlineStr">
        <is>
          <t>South</t>
        </is>
      </c>
      <c r="E197" s="25" t="inlineStr">
        <is>
          <t>Accessories</t>
        </is>
      </c>
      <c r="F197" s="25" t="inlineStr">
        <is>
          <t>Headphones</t>
        </is>
      </c>
      <c r="G197" s="25" t="n">
        <v>3</v>
      </c>
      <c r="H197" s="27" t="n">
        <v>4500</v>
      </c>
      <c r="I197" s="28" t="n">
        <v>0</v>
      </c>
      <c r="J197" s="27" t="n">
        <v>2600</v>
      </c>
      <c r="K197" s="27">
        <f>G197*H197*(1-I197)</f>
        <v/>
      </c>
      <c r="L197" s="27">
        <f>K197-G197*J197</f>
        <v/>
      </c>
    </row>
    <row r="198">
      <c r="A198" s="25" t="inlineStr">
        <is>
          <t>ORD-10501</t>
        </is>
      </c>
      <c r="B198" s="26" t="n">
        <v>45725</v>
      </c>
      <c r="C198" s="25">
        <f>MONTH(B198)</f>
        <v/>
      </c>
      <c r="D198" s="25" t="inlineStr">
        <is>
          <t>North</t>
        </is>
      </c>
      <c r="E198" s="25" t="inlineStr">
        <is>
          <t>Office Supplies</t>
        </is>
      </c>
      <c r="F198" s="25" t="inlineStr">
        <is>
          <t>Printer Paper Box</t>
        </is>
      </c>
      <c r="G198" s="25" t="n">
        <v>5</v>
      </c>
      <c r="H198" s="27" t="n">
        <v>1600</v>
      </c>
      <c r="I198" s="28" t="n">
        <v>0</v>
      </c>
      <c r="J198" s="27" t="n">
        <v>1050</v>
      </c>
      <c r="K198" s="27">
        <f>G198*H198*(1-I198)</f>
        <v/>
      </c>
      <c r="L198" s="27">
        <f>K198-G198*J198</f>
        <v/>
      </c>
    </row>
    <row r="199">
      <c r="A199" s="25" t="inlineStr">
        <is>
          <t>ORD-10824</t>
        </is>
      </c>
      <c r="B199" s="26" t="n">
        <v>45725</v>
      </c>
      <c r="C199" s="25">
        <f>MONTH(B199)</f>
        <v/>
      </c>
      <c r="D199" s="25" t="inlineStr">
        <is>
          <t>West</t>
        </is>
      </c>
      <c r="E199" s="25" t="inlineStr">
        <is>
          <t>Accessories</t>
        </is>
      </c>
      <c r="F199" s="25" t="inlineStr">
        <is>
          <t>USB-C Hub</t>
        </is>
      </c>
      <c r="G199" s="25" t="n">
        <v>2</v>
      </c>
      <c r="H199" s="27" t="n">
        <v>1800</v>
      </c>
      <c r="I199" s="28" t="n">
        <v>0</v>
      </c>
      <c r="J199" s="27" t="n">
        <v>980</v>
      </c>
      <c r="K199" s="27">
        <f>G199*H199*(1-I199)</f>
        <v/>
      </c>
      <c r="L199" s="27">
        <f>K199-G199*J199</f>
        <v/>
      </c>
    </row>
    <row r="200">
      <c r="A200" s="25" t="inlineStr">
        <is>
          <t>ORD-10924</t>
        </is>
      </c>
      <c r="B200" s="26" t="n">
        <v>45725</v>
      </c>
      <c r="C200" s="25">
        <f>MONTH(B200)</f>
        <v/>
      </c>
      <c r="D200" s="25" t="inlineStr">
        <is>
          <t>South</t>
        </is>
      </c>
      <c r="E200" s="25" t="inlineStr">
        <is>
          <t>Technology</t>
        </is>
      </c>
      <c r="F200" s="25" t="inlineStr">
        <is>
          <t>Wireless Mouse</t>
        </is>
      </c>
      <c r="G200" s="25" t="n">
        <v>3</v>
      </c>
      <c r="H200" s="27" t="n">
        <v>1200</v>
      </c>
      <c r="I200" s="28" t="n">
        <v>0</v>
      </c>
      <c r="J200" s="27" t="n">
        <v>650</v>
      </c>
      <c r="K200" s="27">
        <f>G200*H200*(1-I200)</f>
        <v/>
      </c>
      <c r="L200" s="27">
        <f>K200-G200*J200</f>
        <v/>
      </c>
    </row>
    <row r="201">
      <c r="A201" s="25" t="inlineStr">
        <is>
          <t>ORD-10935</t>
        </is>
      </c>
      <c r="B201" s="26" t="n">
        <v>45725</v>
      </c>
      <c r="C201" s="25">
        <f>MONTH(B201)</f>
        <v/>
      </c>
      <c r="D201" s="25" t="inlineStr">
        <is>
          <t>South</t>
        </is>
      </c>
      <c r="E201" s="25" t="inlineStr">
        <is>
          <t>Office Supplies</t>
        </is>
      </c>
      <c r="F201" s="25" t="inlineStr">
        <is>
          <t>Desk Organizer</t>
        </is>
      </c>
      <c r="G201" s="25" t="n">
        <v>3</v>
      </c>
      <c r="H201" s="27" t="n">
        <v>850</v>
      </c>
      <c r="I201" s="28" t="n">
        <v>0.2</v>
      </c>
      <c r="J201" s="27" t="n">
        <v>420</v>
      </c>
      <c r="K201" s="27">
        <f>G201*H201*(1-I201)</f>
        <v/>
      </c>
      <c r="L201" s="27">
        <f>K201-G201*J201</f>
        <v/>
      </c>
    </row>
    <row r="202">
      <c r="A202" s="25" t="inlineStr">
        <is>
          <t>ORD-10993</t>
        </is>
      </c>
      <c r="B202" s="26" t="n">
        <v>45725</v>
      </c>
      <c r="C202" s="25">
        <f>MONTH(B202)</f>
        <v/>
      </c>
      <c r="D202" s="25" t="inlineStr">
        <is>
          <t>North</t>
        </is>
      </c>
      <c r="E202" s="25" t="inlineStr">
        <is>
          <t>Furniture</t>
        </is>
      </c>
      <c r="F202" s="25" t="inlineStr">
        <is>
          <t>Standing Desk</t>
        </is>
      </c>
      <c r="G202" s="25" t="n">
        <v>2</v>
      </c>
      <c r="H202" s="27" t="n">
        <v>19500</v>
      </c>
      <c r="I202" s="28" t="n">
        <v>0</v>
      </c>
      <c r="J202" s="27" t="n">
        <v>13800</v>
      </c>
      <c r="K202" s="27">
        <f>G202*H202*(1-I202)</f>
        <v/>
      </c>
      <c r="L202" s="27">
        <f>K202-G202*J202</f>
        <v/>
      </c>
    </row>
    <row r="203">
      <c r="A203" s="25" t="inlineStr">
        <is>
          <t>ORD-10148</t>
        </is>
      </c>
      <c r="B203" s="26" t="n">
        <v>45727</v>
      </c>
      <c r="C203" s="25">
        <f>MONTH(B203)</f>
        <v/>
      </c>
      <c r="D203" s="25" t="inlineStr">
        <is>
          <t>South</t>
        </is>
      </c>
      <c r="E203" s="25" t="inlineStr">
        <is>
          <t>Office Supplies</t>
        </is>
      </c>
      <c r="F203" s="25" t="inlineStr">
        <is>
          <t>Notebook Set</t>
        </is>
      </c>
      <c r="G203" s="25" t="n">
        <v>6</v>
      </c>
      <c r="H203" s="27" t="n">
        <v>450</v>
      </c>
      <c r="I203" s="28" t="n">
        <v>0.15</v>
      </c>
      <c r="J203" s="27" t="n">
        <v>190</v>
      </c>
      <c r="K203" s="27">
        <f>G203*H203*(1-I203)</f>
        <v/>
      </c>
      <c r="L203" s="27">
        <f>K203-G203*J203</f>
        <v/>
      </c>
    </row>
    <row r="204">
      <c r="A204" s="25" t="inlineStr">
        <is>
          <t>ORD-10279</t>
        </is>
      </c>
      <c r="B204" s="26" t="n">
        <v>45727</v>
      </c>
      <c r="C204" s="25">
        <f>MONTH(B204)</f>
        <v/>
      </c>
      <c r="D204" s="25" t="inlineStr">
        <is>
          <t>West</t>
        </is>
      </c>
      <c r="E204" s="25" t="inlineStr">
        <is>
          <t>Furniture</t>
        </is>
      </c>
      <c r="F204" s="25" t="inlineStr">
        <is>
          <t>Office Chair</t>
        </is>
      </c>
      <c r="G204" s="25" t="n">
        <v>1</v>
      </c>
      <c r="H204" s="27" t="n">
        <v>8500</v>
      </c>
      <c r="I204" s="28" t="n">
        <v>0.2</v>
      </c>
      <c r="J204" s="27" t="n">
        <v>5600</v>
      </c>
      <c r="K204" s="27">
        <f>G204*H204*(1-I204)</f>
        <v/>
      </c>
      <c r="L204" s="27">
        <f>K204-G204*J204</f>
        <v/>
      </c>
    </row>
    <row r="205">
      <c r="A205" s="25" t="inlineStr">
        <is>
          <t>ORD-10466</t>
        </is>
      </c>
      <c r="B205" s="26" t="n">
        <v>45727</v>
      </c>
      <c r="C205" s="25">
        <f>MONTH(B205)</f>
        <v/>
      </c>
      <c r="D205" s="25" t="inlineStr">
        <is>
          <t>South</t>
        </is>
      </c>
      <c r="E205" s="25" t="inlineStr">
        <is>
          <t>Accessories</t>
        </is>
      </c>
      <c r="F205" s="25" t="inlineStr">
        <is>
          <t>USB-C Hub</t>
        </is>
      </c>
      <c r="G205" s="25" t="n">
        <v>1</v>
      </c>
      <c r="H205" s="27" t="n">
        <v>1800</v>
      </c>
      <c r="I205" s="28" t="n">
        <v>0.2</v>
      </c>
      <c r="J205" s="27" t="n">
        <v>980</v>
      </c>
      <c r="K205" s="27">
        <f>G205*H205*(1-I205)</f>
        <v/>
      </c>
      <c r="L205" s="27">
        <f>K205-G205*J205</f>
        <v/>
      </c>
    </row>
    <row r="206">
      <c r="A206" s="25" t="inlineStr">
        <is>
          <t>ORD-10607</t>
        </is>
      </c>
      <c r="B206" s="26" t="n">
        <v>45727</v>
      </c>
      <c r="C206" s="25">
        <f>MONTH(B206)</f>
        <v/>
      </c>
      <c r="D206" s="25" t="inlineStr">
        <is>
          <t>North</t>
        </is>
      </c>
      <c r="E206" s="25" t="inlineStr">
        <is>
          <t>Accessories</t>
        </is>
      </c>
      <c r="F206" s="25" t="inlineStr">
        <is>
          <t>USB-C Hub</t>
        </is>
      </c>
      <c r="G206" s="25" t="n">
        <v>3</v>
      </c>
      <c r="H206" s="27" t="n">
        <v>1800</v>
      </c>
      <c r="I206" s="28" t="n">
        <v>0</v>
      </c>
      <c r="J206" s="27" t="n">
        <v>980</v>
      </c>
      <c r="K206" s="27">
        <f>G206*H206*(1-I206)</f>
        <v/>
      </c>
      <c r="L206" s="27">
        <f>K206-G206*J206</f>
        <v/>
      </c>
    </row>
    <row r="207">
      <c r="A207" s="25" t="inlineStr">
        <is>
          <t>ORD-10172</t>
        </is>
      </c>
      <c r="B207" s="26" t="n">
        <v>45728</v>
      </c>
      <c r="C207" s="25">
        <f>MONTH(B207)</f>
        <v/>
      </c>
      <c r="D207" s="25" t="inlineStr">
        <is>
          <t>South</t>
        </is>
      </c>
      <c r="E207" s="25" t="inlineStr">
        <is>
          <t>Office Supplies</t>
        </is>
      </c>
      <c r="F207" s="25" t="inlineStr">
        <is>
          <t>Notebook Set</t>
        </is>
      </c>
      <c r="G207" s="25" t="n">
        <v>5</v>
      </c>
      <c r="H207" s="27" t="n">
        <v>450</v>
      </c>
      <c r="I207" s="28" t="n">
        <v>0.1</v>
      </c>
      <c r="J207" s="27" t="n">
        <v>190</v>
      </c>
      <c r="K207" s="27">
        <f>G207*H207*(1-I207)</f>
        <v/>
      </c>
      <c r="L207" s="27">
        <f>K207-G207*J207</f>
        <v/>
      </c>
    </row>
    <row r="208">
      <c r="A208" s="25" t="inlineStr">
        <is>
          <t>ORD-11199</t>
        </is>
      </c>
      <c r="B208" s="26" t="n">
        <v>45728</v>
      </c>
      <c r="C208" s="25">
        <f>MONTH(B208)</f>
        <v/>
      </c>
      <c r="D208" s="25" t="inlineStr">
        <is>
          <t>West</t>
        </is>
      </c>
      <c r="E208" s="25" t="inlineStr">
        <is>
          <t>Furniture</t>
        </is>
      </c>
      <c r="F208" s="25" t="inlineStr">
        <is>
          <t>Office Chair</t>
        </is>
      </c>
      <c r="G208" s="25" t="n">
        <v>1</v>
      </c>
      <c r="H208" s="27" t="n">
        <v>8500</v>
      </c>
      <c r="I208" s="28" t="n">
        <v>0</v>
      </c>
      <c r="J208" s="27" t="n">
        <v>5600</v>
      </c>
      <c r="K208" s="27">
        <f>G208*H208*(1-I208)</f>
        <v/>
      </c>
      <c r="L208" s="27">
        <f>K208-G208*J208</f>
        <v/>
      </c>
    </row>
    <row r="209">
      <c r="A209" s="25" t="inlineStr">
        <is>
          <t>ORD-10282</t>
        </is>
      </c>
      <c r="B209" s="26" t="n">
        <v>45729</v>
      </c>
      <c r="C209" s="25">
        <f>MONTH(B209)</f>
        <v/>
      </c>
      <c r="D209" s="25" t="inlineStr">
        <is>
          <t>South</t>
        </is>
      </c>
      <c r="E209" s="25" t="inlineStr">
        <is>
          <t>Furniture</t>
        </is>
      </c>
      <c r="F209" s="25" t="inlineStr">
        <is>
          <t>Office Chair</t>
        </is>
      </c>
      <c r="G209" s="25" t="n">
        <v>1</v>
      </c>
      <c r="H209" s="27" t="n">
        <v>8500</v>
      </c>
      <c r="I209" s="28" t="n">
        <v>0.05</v>
      </c>
      <c r="J209" s="27" t="n">
        <v>5600</v>
      </c>
      <c r="K209" s="27">
        <f>G209*H209*(1-I209)</f>
        <v/>
      </c>
      <c r="L209" s="27">
        <f>K209-G209*J209</f>
        <v/>
      </c>
    </row>
    <row r="210">
      <c r="A210" s="25" t="inlineStr">
        <is>
          <t>ORD-10579</t>
        </is>
      </c>
      <c r="B210" s="26" t="n">
        <v>45729</v>
      </c>
      <c r="C210" s="25">
        <f>MONTH(B210)</f>
        <v/>
      </c>
      <c r="D210" s="25" t="inlineStr">
        <is>
          <t>South</t>
        </is>
      </c>
      <c r="E210" s="25" t="inlineStr">
        <is>
          <t>Accessories</t>
        </is>
      </c>
      <c r="F210" s="25" t="inlineStr">
        <is>
          <t>Webcam</t>
        </is>
      </c>
      <c r="G210" s="25" t="n">
        <v>2</v>
      </c>
      <c r="H210" s="27" t="n">
        <v>3200</v>
      </c>
      <c r="I210" s="28" t="n">
        <v>0.15</v>
      </c>
      <c r="J210" s="27" t="n">
        <v>1900</v>
      </c>
      <c r="K210" s="27">
        <f>G210*H210*(1-I210)</f>
        <v/>
      </c>
      <c r="L210" s="27">
        <f>K210-G210*J210</f>
        <v/>
      </c>
    </row>
    <row r="211">
      <c r="A211" s="25" t="inlineStr">
        <is>
          <t>ORD-10932</t>
        </is>
      </c>
      <c r="B211" s="26" t="n">
        <v>45729</v>
      </c>
      <c r="C211" s="25">
        <f>MONTH(B211)</f>
        <v/>
      </c>
      <c r="D211" s="25" t="inlineStr">
        <is>
          <t>North</t>
        </is>
      </c>
      <c r="E211" s="25" t="inlineStr">
        <is>
          <t>Office Supplies</t>
        </is>
      </c>
      <c r="F211" s="25" t="inlineStr">
        <is>
          <t>Printer Paper Box</t>
        </is>
      </c>
      <c r="G211" s="25" t="n">
        <v>2</v>
      </c>
      <c r="H211" s="27" t="n">
        <v>1600</v>
      </c>
      <c r="I211" s="28" t="n">
        <v>0</v>
      </c>
      <c r="J211" s="27" t="n">
        <v>1050</v>
      </c>
      <c r="K211" s="27">
        <f>G211*H211*(1-I211)</f>
        <v/>
      </c>
      <c r="L211" s="27">
        <f>K211-G211*J211</f>
        <v/>
      </c>
    </row>
    <row r="212">
      <c r="A212" s="25" t="inlineStr">
        <is>
          <t>ORD-10813</t>
        </is>
      </c>
      <c r="B212" s="26" t="n">
        <v>45730</v>
      </c>
      <c r="C212" s="25">
        <f>MONTH(B212)</f>
        <v/>
      </c>
      <c r="D212" s="25" t="inlineStr">
        <is>
          <t>South</t>
        </is>
      </c>
      <c r="E212" s="25" t="inlineStr">
        <is>
          <t>Office Supplies</t>
        </is>
      </c>
      <c r="F212" s="25" t="inlineStr">
        <is>
          <t>Desk Organizer</t>
        </is>
      </c>
      <c r="G212" s="25" t="n">
        <v>1</v>
      </c>
      <c r="H212" s="27" t="n">
        <v>850</v>
      </c>
      <c r="I212" s="28" t="n">
        <v>0</v>
      </c>
      <c r="J212" s="27" t="n">
        <v>420</v>
      </c>
      <c r="K212" s="27">
        <f>G212*H212*(1-I212)</f>
        <v/>
      </c>
      <c r="L212" s="27">
        <f>K212-G212*J212</f>
        <v/>
      </c>
    </row>
    <row r="213">
      <c r="A213" s="25" t="inlineStr">
        <is>
          <t>ORD-11035</t>
        </is>
      </c>
      <c r="B213" s="26" t="n">
        <v>45730</v>
      </c>
      <c r="C213" s="25">
        <f>MONTH(B213)</f>
        <v/>
      </c>
      <c r="D213" s="25" t="inlineStr">
        <is>
          <t>West</t>
        </is>
      </c>
      <c r="E213" s="25" t="inlineStr">
        <is>
          <t>Technology</t>
        </is>
      </c>
      <c r="F213" s="25" t="inlineStr">
        <is>
          <t>Mechanical Keyboard</t>
        </is>
      </c>
      <c r="G213" s="25" t="n">
        <v>1</v>
      </c>
      <c r="H213" s="27" t="n">
        <v>4200</v>
      </c>
      <c r="I213" s="28" t="n">
        <v>0</v>
      </c>
      <c r="J213" s="27" t="n">
        <v>2500</v>
      </c>
      <c r="K213" s="27">
        <f>G213*H213*(1-I213)</f>
        <v/>
      </c>
      <c r="L213" s="27">
        <f>K213-G213*J213</f>
        <v/>
      </c>
    </row>
    <row r="214">
      <c r="A214" s="25" t="inlineStr">
        <is>
          <t>ORD-10046</t>
        </is>
      </c>
      <c r="B214" s="26" t="n">
        <v>45731</v>
      </c>
      <c r="C214" s="25">
        <f>MONTH(B214)</f>
        <v/>
      </c>
      <c r="D214" s="25" t="inlineStr">
        <is>
          <t>North</t>
        </is>
      </c>
      <c r="E214" s="25" t="inlineStr">
        <is>
          <t>Office Supplies</t>
        </is>
      </c>
      <c r="F214" s="25" t="inlineStr">
        <is>
          <t>Desk Organizer</t>
        </is>
      </c>
      <c r="G214" s="25" t="n">
        <v>1</v>
      </c>
      <c r="H214" s="27" t="n">
        <v>850</v>
      </c>
      <c r="I214" s="28" t="n">
        <v>0</v>
      </c>
      <c r="J214" s="27" t="n">
        <v>420</v>
      </c>
      <c r="K214" s="27">
        <f>G214*H214*(1-I214)</f>
        <v/>
      </c>
      <c r="L214" s="27">
        <f>K214-G214*J214</f>
        <v/>
      </c>
    </row>
    <row r="215">
      <c r="A215" s="25" t="inlineStr">
        <is>
          <t>ORD-10128</t>
        </is>
      </c>
      <c r="B215" s="26" t="n">
        <v>45731</v>
      </c>
      <c r="C215" s="25">
        <f>MONTH(B215)</f>
        <v/>
      </c>
      <c r="D215" s="25" t="inlineStr">
        <is>
          <t>West</t>
        </is>
      </c>
      <c r="E215" s="25" t="inlineStr">
        <is>
          <t>Office Supplies</t>
        </is>
      </c>
      <c r="F215" s="25" t="inlineStr">
        <is>
          <t>Printer Paper Box</t>
        </is>
      </c>
      <c r="G215" s="25" t="n">
        <v>5</v>
      </c>
      <c r="H215" s="27" t="n">
        <v>1600</v>
      </c>
      <c r="I215" s="28" t="n">
        <v>0.15</v>
      </c>
      <c r="J215" s="27" t="n">
        <v>1050</v>
      </c>
      <c r="K215" s="27">
        <f>G215*H215*(1-I215)</f>
        <v/>
      </c>
      <c r="L215" s="27">
        <f>K215-G215*J215</f>
        <v/>
      </c>
    </row>
    <row r="216">
      <c r="A216" s="25" t="inlineStr">
        <is>
          <t>ORD-10295</t>
        </is>
      </c>
      <c r="B216" s="26" t="n">
        <v>45731</v>
      </c>
      <c r="C216" s="25">
        <f>MONTH(B216)</f>
        <v/>
      </c>
      <c r="D216" s="25" t="inlineStr">
        <is>
          <t>North</t>
        </is>
      </c>
      <c r="E216" s="25" t="inlineStr">
        <is>
          <t>Technology</t>
        </is>
      </c>
      <c r="F216" s="25" t="inlineStr">
        <is>
          <t>Wireless Mouse</t>
        </is>
      </c>
      <c r="G216" s="25" t="n">
        <v>2</v>
      </c>
      <c r="H216" s="27" t="n">
        <v>1200</v>
      </c>
      <c r="I216" s="28" t="n">
        <v>0.1</v>
      </c>
      <c r="J216" s="27" t="n">
        <v>650</v>
      </c>
      <c r="K216" s="27">
        <f>G216*H216*(1-I216)</f>
        <v/>
      </c>
      <c r="L216" s="27">
        <f>K216-G216*J216</f>
        <v/>
      </c>
    </row>
    <row r="217">
      <c r="A217" s="25" t="inlineStr">
        <is>
          <t>ORD-10342</t>
        </is>
      </c>
      <c r="B217" s="26" t="n">
        <v>45731</v>
      </c>
      <c r="C217" s="25">
        <f>MONTH(B217)</f>
        <v/>
      </c>
      <c r="D217" s="25" t="inlineStr">
        <is>
          <t>North</t>
        </is>
      </c>
      <c r="E217" s="25" t="inlineStr">
        <is>
          <t>Office Supplies</t>
        </is>
      </c>
      <c r="F217" s="25" t="inlineStr">
        <is>
          <t>Desk Organizer</t>
        </is>
      </c>
      <c r="G217" s="25" t="n">
        <v>4</v>
      </c>
      <c r="H217" s="27" t="n">
        <v>850</v>
      </c>
      <c r="I217" s="28" t="n">
        <v>0.05</v>
      </c>
      <c r="J217" s="27" t="n">
        <v>420</v>
      </c>
      <c r="K217" s="27">
        <f>G217*H217*(1-I217)</f>
        <v/>
      </c>
      <c r="L217" s="27">
        <f>K217-G217*J217</f>
        <v/>
      </c>
    </row>
    <row r="218">
      <c r="A218" s="25" t="inlineStr">
        <is>
          <t>ORD-10583</t>
        </is>
      </c>
      <c r="B218" s="26" t="n">
        <v>45731</v>
      </c>
      <c r="C218" s="25">
        <f>MONTH(B218)</f>
        <v/>
      </c>
      <c r="D218" s="25" t="inlineStr">
        <is>
          <t>West</t>
        </is>
      </c>
      <c r="E218" s="25" t="inlineStr">
        <is>
          <t>Accessories</t>
        </is>
      </c>
      <c r="F218" s="25" t="inlineStr">
        <is>
          <t>USB-C Hub</t>
        </is>
      </c>
      <c r="G218" s="25" t="n">
        <v>4</v>
      </c>
      <c r="H218" s="27" t="n">
        <v>1800</v>
      </c>
      <c r="I218" s="28" t="n">
        <v>0.15</v>
      </c>
      <c r="J218" s="27" t="n">
        <v>980</v>
      </c>
      <c r="K218" s="27">
        <f>G218*H218*(1-I218)</f>
        <v/>
      </c>
      <c r="L218" s="27">
        <f>K218-G218*J218</f>
        <v/>
      </c>
    </row>
    <row r="219">
      <c r="A219" s="25" t="inlineStr">
        <is>
          <t>ORD-10846</t>
        </is>
      </c>
      <c r="B219" s="26" t="n">
        <v>45732</v>
      </c>
      <c r="C219" s="25">
        <f>MONTH(B219)</f>
        <v/>
      </c>
      <c r="D219" s="25" t="inlineStr">
        <is>
          <t>North</t>
        </is>
      </c>
      <c r="E219" s="25" t="inlineStr">
        <is>
          <t>Office Supplies</t>
        </is>
      </c>
      <c r="F219" s="25" t="inlineStr">
        <is>
          <t>Notebook Set</t>
        </is>
      </c>
      <c r="G219" s="25" t="n">
        <v>7</v>
      </c>
      <c r="H219" s="27" t="n">
        <v>450</v>
      </c>
      <c r="I219" s="28" t="n">
        <v>0.2</v>
      </c>
      <c r="J219" s="27" t="n">
        <v>190</v>
      </c>
      <c r="K219" s="27">
        <f>G219*H219*(1-I219)</f>
        <v/>
      </c>
      <c r="L219" s="27">
        <f>K219-G219*J219</f>
        <v/>
      </c>
    </row>
    <row r="220">
      <c r="A220" s="25" t="inlineStr">
        <is>
          <t>ORD-10132</t>
        </is>
      </c>
      <c r="B220" s="26" t="n">
        <v>45733</v>
      </c>
      <c r="C220" s="25">
        <f>MONTH(B220)</f>
        <v/>
      </c>
      <c r="D220" s="25" t="inlineStr">
        <is>
          <t>South</t>
        </is>
      </c>
      <c r="E220" s="25" t="inlineStr">
        <is>
          <t>Office Supplies</t>
        </is>
      </c>
      <c r="F220" s="25" t="inlineStr">
        <is>
          <t>Notebook Set</t>
        </is>
      </c>
      <c r="G220" s="25" t="n">
        <v>8</v>
      </c>
      <c r="H220" s="27" t="n">
        <v>450</v>
      </c>
      <c r="I220" s="28" t="n">
        <v>0</v>
      </c>
      <c r="J220" s="27" t="n">
        <v>190</v>
      </c>
      <c r="K220" s="27">
        <f>G220*H220*(1-I220)</f>
        <v/>
      </c>
      <c r="L220" s="27">
        <f>K220-G220*J220</f>
        <v/>
      </c>
    </row>
    <row r="221">
      <c r="A221" s="25" t="inlineStr">
        <is>
          <t>ORD-10509</t>
        </is>
      </c>
      <c r="B221" s="26" t="n">
        <v>45733</v>
      </c>
      <c r="C221" s="25">
        <f>MONTH(B221)</f>
        <v/>
      </c>
      <c r="D221" s="25" t="inlineStr">
        <is>
          <t>East</t>
        </is>
      </c>
      <c r="E221" s="25" t="inlineStr">
        <is>
          <t>Office Supplies</t>
        </is>
      </c>
      <c r="F221" s="25" t="inlineStr">
        <is>
          <t>Printer Paper Box</t>
        </is>
      </c>
      <c r="G221" s="25" t="n">
        <v>5</v>
      </c>
      <c r="H221" s="27" t="n">
        <v>1600</v>
      </c>
      <c r="I221" s="28" t="n">
        <v>0.2</v>
      </c>
      <c r="J221" s="27" t="n">
        <v>1050</v>
      </c>
      <c r="K221" s="27">
        <f>G221*H221*(1-I221)</f>
        <v/>
      </c>
      <c r="L221" s="27">
        <f>K221-G221*J221</f>
        <v/>
      </c>
    </row>
    <row r="222">
      <c r="A222" s="25" t="inlineStr">
        <is>
          <t>ORD-10797</t>
        </is>
      </c>
      <c r="B222" s="26" t="n">
        <v>45733</v>
      </c>
      <c r="C222" s="25">
        <f>MONTH(B222)</f>
        <v/>
      </c>
      <c r="D222" s="25" t="inlineStr">
        <is>
          <t>South</t>
        </is>
      </c>
      <c r="E222" s="25" t="inlineStr">
        <is>
          <t>Furniture</t>
        </is>
      </c>
      <c r="F222" s="25" t="inlineStr">
        <is>
          <t>Bookshelf</t>
        </is>
      </c>
      <c r="G222" s="25" t="n">
        <v>2</v>
      </c>
      <c r="H222" s="27" t="n">
        <v>6200</v>
      </c>
      <c r="I222" s="28" t="n">
        <v>0</v>
      </c>
      <c r="J222" s="27" t="n">
        <v>4100</v>
      </c>
      <c r="K222" s="27">
        <f>G222*H222*(1-I222)</f>
        <v/>
      </c>
      <c r="L222" s="27">
        <f>K222-G222*J222</f>
        <v/>
      </c>
    </row>
    <row r="223">
      <c r="A223" s="25" t="inlineStr">
        <is>
          <t>ORD-10943</t>
        </is>
      </c>
      <c r="B223" s="26" t="n">
        <v>45733</v>
      </c>
      <c r="C223" s="25">
        <f>MONTH(B223)</f>
        <v/>
      </c>
      <c r="D223" s="25" t="inlineStr">
        <is>
          <t>South</t>
        </is>
      </c>
      <c r="E223" s="25" t="inlineStr">
        <is>
          <t>Office Supplies</t>
        </is>
      </c>
      <c r="F223" s="25" t="inlineStr">
        <is>
          <t>Notebook Set</t>
        </is>
      </c>
      <c r="G223" s="25" t="n">
        <v>1</v>
      </c>
      <c r="H223" s="27" t="n">
        <v>450</v>
      </c>
      <c r="I223" s="28" t="n">
        <v>0</v>
      </c>
      <c r="J223" s="27" t="n">
        <v>190</v>
      </c>
      <c r="K223" s="27">
        <f>G223*H223*(1-I223)</f>
        <v/>
      </c>
      <c r="L223" s="27">
        <f>K223-G223*J223</f>
        <v/>
      </c>
    </row>
    <row r="224">
      <c r="A224" s="25" t="inlineStr">
        <is>
          <t>ORD-10984</t>
        </is>
      </c>
      <c r="B224" s="26" t="n">
        <v>45733</v>
      </c>
      <c r="C224" s="25">
        <f>MONTH(B224)</f>
        <v/>
      </c>
      <c r="D224" s="25" t="inlineStr">
        <is>
          <t>West</t>
        </is>
      </c>
      <c r="E224" s="25" t="inlineStr">
        <is>
          <t>Technology</t>
        </is>
      </c>
      <c r="F224" s="25" t="inlineStr">
        <is>
          <t>Monitor 24"</t>
        </is>
      </c>
      <c r="G224" s="25" t="n">
        <v>2</v>
      </c>
      <c r="H224" s="27" t="n">
        <v>11500</v>
      </c>
      <c r="I224" s="28" t="n">
        <v>0.15</v>
      </c>
      <c r="J224" s="27" t="n">
        <v>8200</v>
      </c>
      <c r="K224" s="27">
        <f>G224*H224*(1-I224)</f>
        <v/>
      </c>
      <c r="L224" s="27">
        <f>K224-G224*J224</f>
        <v/>
      </c>
    </row>
    <row r="225">
      <c r="A225" s="25" t="inlineStr">
        <is>
          <t>ORD-11170</t>
        </is>
      </c>
      <c r="B225" s="26" t="n">
        <v>45733</v>
      </c>
      <c r="C225" s="25">
        <f>MONTH(B225)</f>
        <v/>
      </c>
      <c r="D225" s="25" t="inlineStr">
        <is>
          <t>East</t>
        </is>
      </c>
      <c r="E225" s="25" t="inlineStr">
        <is>
          <t>Office Supplies</t>
        </is>
      </c>
      <c r="F225" s="25" t="inlineStr">
        <is>
          <t>Notebook Set</t>
        </is>
      </c>
      <c r="G225" s="25" t="n">
        <v>7</v>
      </c>
      <c r="H225" s="27" t="n">
        <v>450</v>
      </c>
      <c r="I225" s="28" t="n">
        <v>0</v>
      </c>
      <c r="J225" s="27" t="n">
        <v>190</v>
      </c>
      <c r="K225" s="27">
        <f>G225*H225*(1-I225)</f>
        <v/>
      </c>
      <c r="L225" s="27">
        <f>K225-G225*J225</f>
        <v/>
      </c>
    </row>
    <row r="226">
      <c r="A226" s="25" t="inlineStr">
        <is>
          <t>ORD-10452</t>
        </is>
      </c>
      <c r="B226" s="26" t="n">
        <v>45734</v>
      </c>
      <c r="C226" s="25">
        <f>MONTH(B226)</f>
        <v/>
      </c>
      <c r="D226" s="25" t="inlineStr">
        <is>
          <t>West</t>
        </is>
      </c>
      <c r="E226" s="25" t="inlineStr">
        <is>
          <t>Office Supplies</t>
        </is>
      </c>
      <c r="F226" s="25" t="inlineStr">
        <is>
          <t>Printer Paper Box</t>
        </is>
      </c>
      <c r="G226" s="25" t="n">
        <v>1</v>
      </c>
      <c r="H226" s="27" t="n">
        <v>1600</v>
      </c>
      <c r="I226" s="28" t="n">
        <v>0.05</v>
      </c>
      <c r="J226" s="27" t="n">
        <v>1050</v>
      </c>
      <c r="K226" s="27">
        <f>G226*H226*(1-I226)</f>
        <v/>
      </c>
      <c r="L226" s="27">
        <f>K226-G226*J226</f>
        <v/>
      </c>
    </row>
    <row r="227">
      <c r="A227" s="25" t="inlineStr">
        <is>
          <t>ORD-10480</t>
        </is>
      </c>
      <c r="B227" s="26" t="n">
        <v>45734</v>
      </c>
      <c r="C227" s="25">
        <f>MONTH(B227)</f>
        <v/>
      </c>
      <c r="D227" s="25" t="inlineStr">
        <is>
          <t>South</t>
        </is>
      </c>
      <c r="E227" s="25" t="inlineStr">
        <is>
          <t>Office Supplies</t>
        </is>
      </c>
      <c r="F227" s="25" t="inlineStr">
        <is>
          <t>Desk Organizer</t>
        </is>
      </c>
      <c r="G227" s="25" t="n">
        <v>3</v>
      </c>
      <c r="H227" s="27" t="n">
        <v>850</v>
      </c>
      <c r="I227" s="28" t="n">
        <v>0.05</v>
      </c>
      <c r="J227" s="27" t="n">
        <v>420</v>
      </c>
      <c r="K227" s="27">
        <f>G227*H227*(1-I227)</f>
        <v/>
      </c>
      <c r="L227" s="27">
        <f>K227-G227*J227</f>
        <v/>
      </c>
    </row>
    <row r="228">
      <c r="A228" s="25" t="inlineStr">
        <is>
          <t>ORD-10664</t>
        </is>
      </c>
      <c r="B228" s="26" t="n">
        <v>45734</v>
      </c>
      <c r="C228" s="25">
        <f>MONTH(B228)</f>
        <v/>
      </c>
      <c r="D228" s="25" t="inlineStr">
        <is>
          <t>East</t>
        </is>
      </c>
      <c r="E228" s="25" t="inlineStr">
        <is>
          <t>Accessories</t>
        </is>
      </c>
      <c r="F228" s="25" t="inlineStr">
        <is>
          <t>USB-C Hub</t>
        </is>
      </c>
      <c r="G228" s="25" t="n">
        <v>2</v>
      </c>
      <c r="H228" s="27" t="n">
        <v>1800</v>
      </c>
      <c r="I228" s="28" t="n">
        <v>0</v>
      </c>
      <c r="J228" s="27" t="n">
        <v>980</v>
      </c>
      <c r="K228" s="27">
        <f>G228*H228*(1-I228)</f>
        <v/>
      </c>
      <c r="L228" s="27">
        <f>K228-G228*J228</f>
        <v/>
      </c>
    </row>
    <row r="229">
      <c r="A229" s="25" t="inlineStr">
        <is>
          <t>ORD-11056</t>
        </is>
      </c>
      <c r="B229" s="26" t="n">
        <v>45734</v>
      </c>
      <c r="C229" s="25">
        <f>MONTH(B229)</f>
        <v/>
      </c>
      <c r="D229" s="25" t="inlineStr">
        <is>
          <t>North</t>
        </is>
      </c>
      <c r="E229" s="25" t="inlineStr">
        <is>
          <t>Technology</t>
        </is>
      </c>
      <c r="F229" s="25" t="inlineStr">
        <is>
          <t>Wireless Mouse</t>
        </is>
      </c>
      <c r="G229" s="25" t="n">
        <v>3</v>
      </c>
      <c r="H229" s="27" t="n">
        <v>1200</v>
      </c>
      <c r="I229" s="28" t="n">
        <v>0</v>
      </c>
      <c r="J229" s="27" t="n">
        <v>650</v>
      </c>
      <c r="K229" s="27">
        <f>G229*H229*(1-I229)</f>
        <v/>
      </c>
      <c r="L229" s="27">
        <f>K229-G229*J229</f>
        <v/>
      </c>
    </row>
    <row r="230">
      <c r="A230" s="25" t="inlineStr">
        <is>
          <t>ORD-11066</t>
        </is>
      </c>
      <c r="B230" s="26" t="n">
        <v>45734</v>
      </c>
      <c r="C230" s="25">
        <f>MONTH(B230)</f>
        <v/>
      </c>
      <c r="D230" s="25" t="inlineStr">
        <is>
          <t>West</t>
        </is>
      </c>
      <c r="E230" s="25" t="inlineStr">
        <is>
          <t>Furniture</t>
        </is>
      </c>
      <c r="F230" s="25" t="inlineStr">
        <is>
          <t>Office Chair</t>
        </is>
      </c>
      <c r="G230" s="25" t="n">
        <v>1</v>
      </c>
      <c r="H230" s="27" t="n">
        <v>8500</v>
      </c>
      <c r="I230" s="28" t="n">
        <v>0.1</v>
      </c>
      <c r="J230" s="27" t="n">
        <v>5600</v>
      </c>
      <c r="K230" s="27">
        <f>G230*H230*(1-I230)</f>
        <v/>
      </c>
      <c r="L230" s="27">
        <f>K230-G230*J230</f>
        <v/>
      </c>
    </row>
    <row r="231">
      <c r="A231" s="25" t="inlineStr">
        <is>
          <t>ORD-10067</t>
        </is>
      </c>
      <c r="B231" s="26" t="n">
        <v>45735</v>
      </c>
      <c r="C231" s="25">
        <f>MONTH(B231)</f>
        <v/>
      </c>
      <c r="D231" s="25" t="inlineStr">
        <is>
          <t>North</t>
        </is>
      </c>
      <c r="E231" s="25" t="inlineStr">
        <is>
          <t>Technology</t>
        </is>
      </c>
      <c r="F231" s="25" t="inlineStr">
        <is>
          <t>Mechanical Keyboard</t>
        </is>
      </c>
      <c r="G231" s="25" t="n">
        <v>2</v>
      </c>
      <c r="H231" s="27" t="n">
        <v>4200</v>
      </c>
      <c r="I231" s="28" t="n">
        <v>0</v>
      </c>
      <c r="J231" s="27" t="n">
        <v>2500</v>
      </c>
      <c r="K231" s="27">
        <f>G231*H231*(1-I231)</f>
        <v/>
      </c>
      <c r="L231" s="27">
        <f>K231-G231*J231</f>
        <v/>
      </c>
    </row>
    <row r="232">
      <c r="A232" s="25" t="inlineStr">
        <is>
          <t>ORD-10366</t>
        </is>
      </c>
      <c r="B232" s="26" t="n">
        <v>45735</v>
      </c>
      <c r="C232" s="25">
        <f>MONTH(B232)</f>
        <v/>
      </c>
      <c r="D232" s="25" t="inlineStr">
        <is>
          <t>North</t>
        </is>
      </c>
      <c r="E232" s="25" t="inlineStr">
        <is>
          <t>Accessories</t>
        </is>
      </c>
      <c r="F232" s="25" t="inlineStr">
        <is>
          <t>USB-C Hub</t>
        </is>
      </c>
      <c r="G232" s="25" t="n">
        <v>3</v>
      </c>
      <c r="H232" s="27" t="n">
        <v>1800</v>
      </c>
      <c r="I232" s="28" t="n">
        <v>0.1</v>
      </c>
      <c r="J232" s="27" t="n">
        <v>980</v>
      </c>
      <c r="K232" s="27">
        <f>G232*H232*(1-I232)</f>
        <v/>
      </c>
      <c r="L232" s="27">
        <f>K232-G232*J232</f>
        <v/>
      </c>
    </row>
    <row r="233">
      <c r="A233" s="25" t="inlineStr">
        <is>
          <t>ORD-10417</t>
        </is>
      </c>
      <c r="B233" s="26" t="n">
        <v>45735</v>
      </c>
      <c r="C233" s="25">
        <f>MONTH(B233)</f>
        <v/>
      </c>
      <c r="D233" s="25" t="inlineStr">
        <is>
          <t>South</t>
        </is>
      </c>
      <c r="E233" s="25" t="inlineStr">
        <is>
          <t>Technology</t>
        </is>
      </c>
      <c r="F233" s="25" t="inlineStr">
        <is>
          <t>Wireless Mouse</t>
        </is>
      </c>
      <c r="G233" s="25" t="n">
        <v>2</v>
      </c>
      <c r="H233" s="27" t="n">
        <v>1200</v>
      </c>
      <c r="I233" s="28" t="n">
        <v>0</v>
      </c>
      <c r="J233" s="27" t="n">
        <v>650</v>
      </c>
      <c r="K233" s="27">
        <f>G233*H233*(1-I233)</f>
        <v/>
      </c>
      <c r="L233" s="27">
        <f>K233-G233*J233</f>
        <v/>
      </c>
    </row>
    <row r="234">
      <c r="A234" s="25" t="inlineStr">
        <is>
          <t>ORD-10477</t>
        </is>
      </c>
      <c r="B234" s="26" t="n">
        <v>45735</v>
      </c>
      <c r="C234" s="25">
        <f>MONTH(B234)</f>
        <v/>
      </c>
      <c r="D234" s="25" t="inlineStr">
        <is>
          <t>North</t>
        </is>
      </c>
      <c r="E234" s="25" t="inlineStr">
        <is>
          <t>Accessories</t>
        </is>
      </c>
      <c r="F234" s="25" t="inlineStr">
        <is>
          <t>Webcam</t>
        </is>
      </c>
      <c r="G234" s="25" t="n">
        <v>1</v>
      </c>
      <c r="H234" s="27" t="n">
        <v>3200</v>
      </c>
      <c r="I234" s="28" t="n">
        <v>0</v>
      </c>
      <c r="J234" s="27" t="n">
        <v>1900</v>
      </c>
      <c r="K234" s="27">
        <f>G234*H234*(1-I234)</f>
        <v/>
      </c>
      <c r="L234" s="27">
        <f>K234-G234*J234</f>
        <v/>
      </c>
    </row>
    <row r="235">
      <c r="A235" s="25" t="inlineStr">
        <is>
          <t>ORD-10770</t>
        </is>
      </c>
      <c r="B235" s="26" t="n">
        <v>45735</v>
      </c>
      <c r="C235" s="25">
        <f>MONTH(B235)</f>
        <v/>
      </c>
      <c r="D235" s="25" t="inlineStr">
        <is>
          <t>West</t>
        </is>
      </c>
      <c r="E235" s="25" t="inlineStr">
        <is>
          <t>Office Supplies</t>
        </is>
      </c>
      <c r="F235" s="25" t="inlineStr">
        <is>
          <t>Notebook Set</t>
        </is>
      </c>
      <c r="G235" s="25" t="n">
        <v>7</v>
      </c>
      <c r="H235" s="27" t="n">
        <v>450</v>
      </c>
      <c r="I235" s="28" t="n">
        <v>0.1</v>
      </c>
      <c r="J235" s="27" t="n">
        <v>190</v>
      </c>
      <c r="K235" s="27">
        <f>G235*H235*(1-I235)</f>
        <v/>
      </c>
      <c r="L235" s="27">
        <f>K235-G235*J235</f>
        <v/>
      </c>
    </row>
    <row r="236">
      <c r="A236" s="25" t="inlineStr">
        <is>
          <t>ORD-10919</t>
        </is>
      </c>
      <c r="B236" s="26" t="n">
        <v>45735</v>
      </c>
      <c r="C236" s="25">
        <f>MONTH(B236)</f>
        <v/>
      </c>
      <c r="D236" s="25" t="inlineStr">
        <is>
          <t>West</t>
        </is>
      </c>
      <c r="E236" s="25" t="inlineStr">
        <is>
          <t>Technology</t>
        </is>
      </c>
      <c r="F236" s="25" t="inlineStr">
        <is>
          <t>Mechanical Keyboard</t>
        </is>
      </c>
      <c r="G236" s="25" t="n">
        <v>1</v>
      </c>
      <c r="H236" s="27" t="n">
        <v>4200</v>
      </c>
      <c r="I236" s="28" t="n">
        <v>0.05</v>
      </c>
      <c r="J236" s="27" t="n">
        <v>2500</v>
      </c>
      <c r="K236" s="27">
        <f>G236*H236*(1-I236)</f>
        <v/>
      </c>
      <c r="L236" s="27">
        <f>K236-G236*J236</f>
        <v/>
      </c>
    </row>
    <row r="237">
      <c r="A237" s="25" t="inlineStr">
        <is>
          <t>ORD-10378</t>
        </is>
      </c>
      <c r="B237" s="26" t="n">
        <v>45736</v>
      </c>
      <c r="C237" s="25">
        <f>MONTH(B237)</f>
        <v/>
      </c>
      <c r="D237" s="25" t="inlineStr">
        <is>
          <t>South</t>
        </is>
      </c>
      <c r="E237" s="25" t="inlineStr">
        <is>
          <t>Accessories</t>
        </is>
      </c>
      <c r="F237" s="25" t="inlineStr">
        <is>
          <t>USB-C Hub</t>
        </is>
      </c>
      <c r="G237" s="25" t="n">
        <v>2</v>
      </c>
      <c r="H237" s="27" t="n">
        <v>1800</v>
      </c>
      <c r="I237" s="28" t="n">
        <v>0.1</v>
      </c>
      <c r="J237" s="27" t="n">
        <v>980</v>
      </c>
      <c r="K237" s="27">
        <f>G237*H237*(1-I237)</f>
        <v/>
      </c>
      <c r="L237" s="27">
        <f>K237-G237*J237</f>
        <v/>
      </c>
    </row>
    <row r="238">
      <c r="A238" s="25" t="inlineStr">
        <is>
          <t>ORD-10474</t>
        </is>
      </c>
      <c r="B238" s="26" t="n">
        <v>45736</v>
      </c>
      <c r="C238" s="25">
        <f>MONTH(B238)</f>
        <v/>
      </c>
      <c r="D238" s="25" t="inlineStr">
        <is>
          <t>South</t>
        </is>
      </c>
      <c r="E238" s="25" t="inlineStr">
        <is>
          <t>Accessories</t>
        </is>
      </c>
      <c r="F238" s="25" t="inlineStr">
        <is>
          <t>Webcam</t>
        </is>
      </c>
      <c r="G238" s="25" t="n">
        <v>3</v>
      </c>
      <c r="H238" s="27" t="n">
        <v>3200</v>
      </c>
      <c r="I238" s="28" t="n">
        <v>0</v>
      </c>
      <c r="J238" s="27" t="n">
        <v>1900</v>
      </c>
      <c r="K238" s="27">
        <f>G238*H238*(1-I238)</f>
        <v/>
      </c>
      <c r="L238" s="27">
        <f>K238-G238*J238</f>
        <v/>
      </c>
    </row>
    <row r="239">
      <c r="A239" s="25" t="inlineStr">
        <is>
          <t>ORD-11057</t>
        </is>
      </c>
      <c r="B239" s="26" t="n">
        <v>45736</v>
      </c>
      <c r="C239" s="25">
        <f>MONTH(B239)</f>
        <v/>
      </c>
      <c r="D239" s="25" t="inlineStr">
        <is>
          <t>East</t>
        </is>
      </c>
      <c r="E239" s="25" t="inlineStr">
        <is>
          <t>Accessories</t>
        </is>
      </c>
      <c r="F239" s="25" t="inlineStr">
        <is>
          <t>Webcam</t>
        </is>
      </c>
      <c r="G239" s="25" t="n">
        <v>3</v>
      </c>
      <c r="H239" s="27" t="n">
        <v>3200</v>
      </c>
      <c r="I239" s="28" t="n">
        <v>0.05</v>
      </c>
      <c r="J239" s="27" t="n">
        <v>1900</v>
      </c>
      <c r="K239" s="27">
        <f>G239*H239*(1-I239)</f>
        <v/>
      </c>
      <c r="L239" s="27">
        <f>K239-G239*J239</f>
        <v/>
      </c>
    </row>
    <row r="240">
      <c r="A240" s="25" t="inlineStr">
        <is>
          <t>ORD-11184</t>
        </is>
      </c>
      <c r="B240" s="26" t="n">
        <v>45736</v>
      </c>
      <c r="C240" s="25">
        <f>MONTH(B240)</f>
        <v/>
      </c>
      <c r="D240" s="25" t="inlineStr">
        <is>
          <t>West</t>
        </is>
      </c>
      <c r="E240" s="25" t="inlineStr">
        <is>
          <t>Office Supplies</t>
        </is>
      </c>
      <c r="F240" s="25" t="inlineStr">
        <is>
          <t>Printer Paper Box</t>
        </is>
      </c>
      <c r="G240" s="25" t="n">
        <v>3</v>
      </c>
      <c r="H240" s="27" t="n">
        <v>1600</v>
      </c>
      <c r="I240" s="28" t="n">
        <v>0.15</v>
      </c>
      <c r="J240" s="27" t="n">
        <v>1050</v>
      </c>
      <c r="K240" s="27">
        <f>G240*H240*(1-I240)</f>
        <v/>
      </c>
      <c r="L240" s="27">
        <f>K240-G240*J240</f>
        <v/>
      </c>
    </row>
    <row r="241">
      <c r="A241" s="25" t="inlineStr">
        <is>
          <t>ORD-10364</t>
        </is>
      </c>
      <c r="B241" s="26" t="n">
        <v>45737</v>
      </c>
      <c r="C241" s="25">
        <f>MONTH(B241)</f>
        <v/>
      </c>
      <c r="D241" s="25" t="inlineStr">
        <is>
          <t>West</t>
        </is>
      </c>
      <c r="E241" s="25" t="inlineStr">
        <is>
          <t>Accessories</t>
        </is>
      </c>
      <c r="F241" s="25" t="inlineStr">
        <is>
          <t>USB-C Hub</t>
        </is>
      </c>
      <c r="G241" s="25" t="n">
        <v>4</v>
      </c>
      <c r="H241" s="27" t="n">
        <v>1800</v>
      </c>
      <c r="I241" s="28" t="n">
        <v>0.2</v>
      </c>
      <c r="J241" s="27" t="n">
        <v>980</v>
      </c>
      <c r="K241" s="27">
        <f>G241*H241*(1-I241)</f>
        <v/>
      </c>
      <c r="L241" s="27">
        <f>K241-G241*J241</f>
        <v/>
      </c>
    </row>
    <row r="242">
      <c r="A242" s="25" t="inlineStr">
        <is>
          <t>ORD-10697</t>
        </is>
      </c>
      <c r="B242" s="26" t="n">
        <v>45737</v>
      </c>
      <c r="C242" s="25">
        <f>MONTH(B242)</f>
        <v/>
      </c>
      <c r="D242" s="25" t="inlineStr">
        <is>
          <t>West</t>
        </is>
      </c>
      <c r="E242" s="25" t="inlineStr">
        <is>
          <t>Office Supplies</t>
        </is>
      </c>
      <c r="F242" s="25" t="inlineStr">
        <is>
          <t>Notebook Set</t>
        </is>
      </c>
      <c r="G242" s="25" t="n">
        <v>2</v>
      </c>
      <c r="H242" s="27" t="n">
        <v>450</v>
      </c>
      <c r="I242" s="28" t="n">
        <v>0</v>
      </c>
      <c r="J242" s="27" t="n">
        <v>190</v>
      </c>
      <c r="K242" s="27">
        <f>G242*H242*(1-I242)</f>
        <v/>
      </c>
      <c r="L242" s="27">
        <f>K242-G242*J242</f>
        <v/>
      </c>
    </row>
    <row r="243">
      <c r="A243" s="25" t="inlineStr">
        <is>
          <t>ORD-10991</t>
        </is>
      </c>
      <c r="B243" s="26" t="n">
        <v>45737</v>
      </c>
      <c r="C243" s="25">
        <f>MONTH(B243)</f>
        <v/>
      </c>
      <c r="D243" s="25" t="inlineStr">
        <is>
          <t>East</t>
        </is>
      </c>
      <c r="E243" s="25" t="inlineStr">
        <is>
          <t>Accessories</t>
        </is>
      </c>
      <c r="F243" s="25" t="inlineStr">
        <is>
          <t>USB-C Hub</t>
        </is>
      </c>
      <c r="G243" s="25" t="n">
        <v>1</v>
      </c>
      <c r="H243" s="27" t="n">
        <v>1800</v>
      </c>
      <c r="I243" s="28" t="n">
        <v>0</v>
      </c>
      <c r="J243" s="27" t="n">
        <v>980</v>
      </c>
      <c r="K243" s="27">
        <f>G243*H243*(1-I243)</f>
        <v/>
      </c>
      <c r="L243" s="27">
        <f>K243-G243*J243</f>
        <v/>
      </c>
    </row>
    <row r="244">
      <c r="A244" s="25" t="inlineStr">
        <is>
          <t>ORD-10003</t>
        </is>
      </c>
      <c r="B244" s="26" t="n">
        <v>45738</v>
      </c>
      <c r="C244" s="25">
        <f>MONTH(B244)</f>
        <v/>
      </c>
      <c r="D244" s="25" t="inlineStr">
        <is>
          <t>East</t>
        </is>
      </c>
      <c r="E244" s="25" t="inlineStr">
        <is>
          <t>Technology</t>
        </is>
      </c>
      <c r="F244" s="25" t="inlineStr">
        <is>
          <t>Wireless Mouse</t>
        </is>
      </c>
      <c r="G244" s="25" t="n">
        <v>5</v>
      </c>
      <c r="H244" s="27" t="n">
        <v>1200</v>
      </c>
      <c r="I244" s="28" t="n">
        <v>0</v>
      </c>
      <c r="J244" s="27" t="n">
        <v>650</v>
      </c>
      <c r="K244" s="27">
        <f>G244*H244*(1-I244)</f>
        <v/>
      </c>
      <c r="L244" s="27">
        <f>K244-G244*J244</f>
        <v/>
      </c>
    </row>
    <row r="245">
      <c r="A245" s="25" t="inlineStr">
        <is>
          <t>ORD-10296</t>
        </is>
      </c>
      <c r="B245" s="26" t="n">
        <v>45738</v>
      </c>
      <c r="C245" s="25">
        <f>MONTH(B245)</f>
        <v/>
      </c>
      <c r="D245" s="25" t="inlineStr">
        <is>
          <t>North</t>
        </is>
      </c>
      <c r="E245" s="25" t="inlineStr">
        <is>
          <t>Office Supplies</t>
        </is>
      </c>
      <c r="F245" s="25" t="inlineStr">
        <is>
          <t>Printer Paper Box</t>
        </is>
      </c>
      <c r="G245" s="25" t="n">
        <v>3</v>
      </c>
      <c r="H245" s="27" t="n">
        <v>1600</v>
      </c>
      <c r="I245" s="28" t="n">
        <v>0.1</v>
      </c>
      <c r="J245" s="27" t="n">
        <v>1050</v>
      </c>
      <c r="K245" s="27">
        <f>G245*H245*(1-I245)</f>
        <v/>
      </c>
      <c r="L245" s="27">
        <f>K245-G245*J245</f>
        <v/>
      </c>
    </row>
    <row r="246">
      <c r="A246" s="25" t="inlineStr">
        <is>
          <t>ORD-10701</t>
        </is>
      </c>
      <c r="B246" s="26" t="n">
        <v>45738</v>
      </c>
      <c r="C246" s="25">
        <f>MONTH(B246)</f>
        <v/>
      </c>
      <c r="D246" s="25" t="inlineStr">
        <is>
          <t>North</t>
        </is>
      </c>
      <c r="E246" s="25" t="inlineStr">
        <is>
          <t>Technology</t>
        </is>
      </c>
      <c r="F246" s="25" t="inlineStr">
        <is>
          <t>Wireless Mouse</t>
        </is>
      </c>
      <c r="G246" s="25" t="n">
        <v>4</v>
      </c>
      <c r="H246" s="27" t="n">
        <v>1200</v>
      </c>
      <c r="I246" s="28" t="n">
        <v>0.15</v>
      </c>
      <c r="J246" s="27" t="n">
        <v>650</v>
      </c>
      <c r="K246" s="27">
        <f>G246*H246*(1-I246)</f>
        <v/>
      </c>
      <c r="L246" s="27">
        <f>K246-G246*J246</f>
        <v/>
      </c>
    </row>
    <row r="247">
      <c r="A247" s="25" t="inlineStr">
        <is>
          <t>ORD-10843</t>
        </is>
      </c>
      <c r="B247" s="26" t="n">
        <v>45738</v>
      </c>
      <c r="C247" s="25">
        <f>MONTH(B247)</f>
        <v/>
      </c>
      <c r="D247" s="25" t="inlineStr">
        <is>
          <t>South</t>
        </is>
      </c>
      <c r="E247" s="25" t="inlineStr">
        <is>
          <t>Accessories</t>
        </is>
      </c>
      <c r="F247" s="25" t="inlineStr">
        <is>
          <t>Webcam</t>
        </is>
      </c>
      <c r="G247" s="25" t="n">
        <v>2</v>
      </c>
      <c r="H247" s="27" t="n">
        <v>3200</v>
      </c>
      <c r="I247" s="28" t="n">
        <v>0</v>
      </c>
      <c r="J247" s="27" t="n">
        <v>1900</v>
      </c>
      <c r="K247" s="27">
        <f>G247*H247*(1-I247)</f>
        <v/>
      </c>
      <c r="L247" s="27">
        <f>K247-G247*J247</f>
        <v/>
      </c>
    </row>
    <row r="248">
      <c r="A248" s="25" t="inlineStr">
        <is>
          <t>ORD-10868</t>
        </is>
      </c>
      <c r="B248" s="26" t="n">
        <v>45738</v>
      </c>
      <c r="C248" s="25">
        <f>MONTH(B248)</f>
        <v/>
      </c>
      <c r="D248" s="25" t="inlineStr">
        <is>
          <t>South</t>
        </is>
      </c>
      <c r="E248" s="25" t="inlineStr">
        <is>
          <t>Accessories</t>
        </is>
      </c>
      <c r="F248" s="25" t="inlineStr">
        <is>
          <t>Webcam</t>
        </is>
      </c>
      <c r="G248" s="25" t="n">
        <v>2</v>
      </c>
      <c r="H248" s="27" t="n">
        <v>3200</v>
      </c>
      <c r="I248" s="28" t="n">
        <v>0</v>
      </c>
      <c r="J248" s="27" t="n">
        <v>1900</v>
      </c>
      <c r="K248" s="27">
        <f>G248*H248*(1-I248)</f>
        <v/>
      </c>
      <c r="L248" s="27">
        <f>K248-G248*J248</f>
        <v/>
      </c>
    </row>
    <row r="249">
      <c r="A249" s="25" t="inlineStr">
        <is>
          <t>ORD-11079</t>
        </is>
      </c>
      <c r="B249" s="26" t="n">
        <v>45739</v>
      </c>
      <c r="C249" s="25">
        <f>MONTH(B249)</f>
        <v/>
      </c>
      <c r="D249" s="25" t="inlineStr">
        <is>
          <t>North</t>
        </is>
      </c>
      <c r="E249" s="25" t="inlineStr">
        <is>
          <t>Technology</t>
        </is>
      </c>
      <c r="F249" s="25" t="inlineStr">
        <is>
          <t>Monitor 24"</t>
        </is>
      </c>
      <c r="G249" s="25" t="n">
        <v>1</v>
      </c>
      <c r="H249" s="27" t="n">
        <v>11500</v>
      </c>
      <c r="I249" s="28" t="n">
        <v>0</v>
      </c>
      <c r="J249" s="27" t="n">
        <v>8200</v>
      </c>
      <c r="K249" s="27">
        <f>G249*H249*(1-I249)</f>
        <v/>
      </c>
      <c r="L249" s="27">
        <f>K249-G249*J249</f>
        <v/>
      </c>
    </row>
    <row r="250">
      <c r="A250" s="25" t="inlineStr">
        <is>
          <t>ORD-10034</t>
        </is>
      </c>
      <c r="B250" s="26" t="n">
        <v>45740</v>
      </c>
      <c r="C250" s="25">
        <f>MONTH(B250)</f>
        <v/>
      </c>
      <c r="D250" s="25" t="inlineStr">
        <is>
          <t>South</t>
        </is>
      </c>
      <c r="E250" s="25" t="inlineStr">
        <is>
          <t>Accessories</t>
        </is>
      </c>
      <c r="F250" s="25" t="inlineStr">
        <is>
          <t>USB-C Hub</t>
        </is>
      </c>
      <c r="G250" s="25" t="n">
        <v>3</v>
      </c>
      <c r="H250" s="27" t="n">
        <v>1800</v>
      </c>
      <c r="I250" s="28" t="n">
        <v>0</v>
      </c>
      <c r="J250" s="27" t="n">
        <v>980</v>
      </c>
      <c r="K250" s="27">
        <f>G250*H250*(1-I250)</f>
        <v/>
      </c>
      <c r="L250" s="27">
        <f>K250-G250*J250</f>
        <v/>
      </c>
    </row>
    <row r="251">
      <c r="A251" s="25" t="inlineStr">
        <is>
          <t>ORD-10336</t>
        </is>
      </c>
      <c r="B251" s="26" t="n">
        <v>45740</v>
      </c>
      <c r="C251" s="25">
        <f>MONTH(B251)</f>
        <v/>
      </c>
      <c r="D251" s="25" t="inlineStr">
        <is>
          <t>North</t>
        </is>
      </c>
      <c r="E251" s="25" t="inlineStr">
        <is>
          <t>Accessories</t>
        </is>
      </c>
      <c r="F251" s="25" t="inlineStr">
        <is>
          <t>Webcam</t>
        </is>
      </c>
      <c r="G251" s="25" t="n">
        <v>3</v>
      </c>
      <c r="H251" s="27" t="n">
        <v>3200</v>
      </c>
      <c r="I251" s="28" t="n">
        <v>0</v>
      </c>
      <c r="J251" s="27" t="n">
        <v>1900</v>
      </c>
      <c r="K251" s="27">
        <f>G251*H251*(1-I251)</f>
        <v/>
      </c>
      <c r="L251" s="27">
        <f>K251-G251*J251</f>
        <v/>
      </c>
    </row>
    <row r="252">
      <c r="A252" s="25" t="inlineStr">
        <is>
          <t>ORD-10434</t>
        </is>
      </c>
      <c r="B252" s="26" t="n">
        <v>45740</v>
      </c>
      <c r="C252" s="25">
        <f>MONTH(B252)</f>
        <v/>
      </c>
      <c r="D252" s="25" t="inlineStr">
        <is>
          <t>South</t>
        </is>
      </c>
      <c r="E252" s="25" t="inlineStr">
        <is>
          <t>Technology</t>
        </is>
      </c>
      <c r="F252" s="25" t="inlineStr">
        <is>
          <t>Wireless Mouse</t>
        </is>
      </c>
      <c r="G252" s="25" t="n">
        <v>4</v>
      </c>
      <c r="H252" s="27" t="n">
        <v>1200</v>
      </c>
      <c r="I252" s="28" t="n">
        <v>0.15</v>
      </c>
      <c r="J252" s="27" t="n">
        <v>650</v>
      </c>
      <c r="K252" s="27">
        <f>G252*H252*(1-I252)</f>
        <v/>
      </c>
      <c r="L252" s="27">
        <f>K252-G252*J252</f>
        <v/>
      </c>
    </row>
    <row r="253">
      <c r="A253" s="25" t="inlineStr">
        <is>
          <t>ORD-10021</t>
        </is>
      </c>
      <c r="B253" s="26" t="n">
        <v>45741</v>
      </c>
      <c r="C253" s="25">
        <f>MONTH(B253)</f>
        <v/>
      </c>
      <c r="D253" s="25" t="inlineStr">
        <is>
          <t>West</t>
        </is>
      </c>
      <c r="E253" s="25" t="inlineStr">
        <is>
          <t>Office Supplies</t>
        </is>
      </c>
      <c r="F253" s="25" t="inlineStr">
        <is>
          <t>Notebook Set</t>
        </is>
      </c>
      <c r="G253" s="25" t="n">
        <v>1</v>
      </c>
      <c r="H253" s="27" t="n">
        <v>450</v>
      </c>
      <c r="I253" s="28" t="n">
        <v>0</v>
      </c>
      <c r="J253" s="27" t="n">
        <v>190</v>
      </c>
      <c r="K253" s="27">
        <f>G253*H253*(1-I253)</f>
        <v/>
      </c>
      <c r="L253" s="27">
        <f>K253-G253*J253</f>
        <v/>
      </c>
    </row>
    <row r="254">
      <c r="A254" s="25" t="inlineStr">
        <is>
          <t>ORD-10160</t>
        </is>
      </c>
      <c r="B254" s="26" t="n">
        <v>45741</v>
      </c>
      <c r="C254" s="25">
        <f>MONTH(B254)</f>
        <v/>
      </c>
      <c r="D254" s="25" t="inlineStr">
        <is>
          <t>West</t>
        </is>
      </c>
      <c r="E254" s="25" t="inlineStr">
        <is>
          <t>Technology</t>
        </is>
      </c>
      <c r="F254" s="25" t="inlineStr">
        <is>
          <t>Wireless Mouse</t>
        </is>
      </c>
      <c r="G254" s="25" t="n">
        <v>3</v>
      </c>
      <c r="H254" s="27" t="n">
        <v>1200</v>
      </c>
      <c r="I254" s="28" t="n">
        <v>0</v>
      </c>
      <c r="J254" s="27" t="n">
        <v>650</v>
      </c>
      <c r="K254" s="27">
        <f>G254*H254*(1-I254)</f>
        <v/>
      </c>
      <c r="L254" s="27">
        <f>K254-G254*J254</f>
        <v/>
      </c>
    </row>
    <row r="255">
      <c r="A255" s="25" t="inlineStr">
        <is>
          <t>ORD-10468</t>
        </is>
      </c>
      <c r="B255" s="26" t="n">
        <v>45741</v>
      </c>
      <c r="C255" s="25">
        <f>MONTH(B255)</f>
        <v/>
      </c>
      <c r="D255" s="25" t="inlineStr">
        <is>
          <t>West</t>
        </is>
      </c>
      <c r="E255" s="25" t="inlineStr">
        <is>
          <t>Technology</t>
        </is>
      </c>
      <c r="F255" s="25" t="inlineStr">
        <is>
          <t>Mechanical Keyboard</t>
        </is>
      </c>
      <c r="G255" s="25" t="n">
        <v>3</v>
      </c>
      <c r="H255" s="27" t="n">
        <v>4200</v>
      </c>
      <c r="I255" s="28" t="n">
        <v>0</v>
      </c>
      <c r="J255" s="27" t="n">
        <v>2500</v>
      </c>
      <c r="K255" s="27">
        <f>G255*H255*(1-I255)</f>
        <v/>
      </c>
      <c r="L255" s="27">
        <f>K255-G255*J255</f>
        <v/>
      </c>
    </row>
    <row r="256">
      <c r="A256" s="25" t="inlineStr">
        <is>
          <t>ORD-10303</t>
        </is>
      </c>
      <c r="B256" s="26" t="n">
        <v>45742</v>
      </c>
      <c r="C256" s="25">
        <f>MONTH(B256)</f>
        <v/>
      </c>
      <c r="D256" s="25" t="inlineStr">
        <is>
          <t>West</t>
        </is>
      </c>
      <c r="E256" s="25" t="inlineStr">
        <is>
          <t>Office Supplies</t>
        </is>
      </c>
      <c r="F256" s="25" t="inlineStr">
        <is>
          <t>Notebook Set</t>
        </is>
      </c>
      <c r="G256" s="25" t="n">
        <v>1</v>
      </c>
      <c r="H256" s="27" t="n">
        <v>450</v>
      </c>
      <c r="I256" s="28" t="n">
        <v>0.05</v>
      </c>
      <c r="J256" s="27" t="n">
        <v>190</v>
      </c>
      <c r="K256" s="27">
        <f>G256*H256*(1-I256)</f>
        <v/>
      </c>
      <c r="L256" s="27">
        <f>K256-G256*J256</f>
        <v/>
      </c>
    </row>
    <row r="257">
      <c r="A257" s="25" t="inlineStr">
        <is>
          <t>ORD-10396</t>
        </is>
      </c>
      <c r="B257" s="26" t="n">
        <v>45742</v>
      </c>
      <c r="C257" s="25">
        <f>MONTH(B257)</f>
        <v/>
      </c>
      <c r="D257" s="25" t="inlineStr">
        <is>
          <t>South</t>
        </is>
      </c>
      <c r="E257" s="25" t="inlineStr">
        <is>
          <t>Office Supplies</t>
        </is>
      </c>
      <c r="F257" s="25" t="inlineStr">
        <is>
          <t>Printer Paper Box</t>
        </is>
      </c>
      <c r="G257" s="25" t="n">
        <v>4</v>
      </c>
      <c r="H257" s="27" t="n">
        <v>1600</v>
      </c>
      <c r="I257" s="28" t="n">
        <v>0</v>
      </c>
      <c r="J257" s="27" t="n">
        <v>1050</v>
      </c>
      <c r="K257" s="27">
        <f>G257*H257*(1-I257)</f>
        <v/>
      </c>
      <c r="L257" s="27">
        <f>K257-G257*J257</f>
        <v/>
      </c>
    </row>
    <row r="258">
      <c r="A258" s="25" t="inlineStr">
        <is>
          <t>ORD-10685</t>
        </is>
      </c>
      <c r="B258" s="26" t="n">
        <v>45742</v>
      </c>
      <c r="C258" s="25">
        <f>MONTH(B258)</f>
        <v/>
      </c>
      <c r="D258" s="25" t="inlineStr">
        <is>
          <t>North</t>
        </is>
      </c>
      <c r="E258" s="25" t="inlineStr">
        <is>
          <t>Technology</t>
        </is>
      </c>
      <c r="F258" s="25" t="inlineStr">
        <is>
          <t>Wireless Mouse</t>
        </is>
      </c>
      <c r="G258" s="25" t="n">
        <v>3</v>
      </c>
      <c r="H258" s="27" t="n">
        <v>1200</v>
      </c>
      <c r="I258" s="28" t="n">
        <v>0</v>
      </c>
      <c r="J258" s="27" t="n">
        <v>650</v>
      </c>
      <c r="K258" s="27">
        <f>G258*H258*(1-I258)</f>
        <v/>
      </c>
      <c r="L258" s="27">
        <f>K258-G258*J258</f>
        <v/>
      </c>
    </row>
    <row r="259">
      <c r="A259" s="25" t="inlineStr">
        <is>
          <t>ORD-10905</t>
        </is>
      </c>
      <c r="B259" s="26" t="n">
        <v>45742</v>
      </c>
      <c r="C259" s="25">
        <f>MONTH(B259)</f>
        <v/>
      </c>
      <c r="D259" s="25" t="inlineStr">
        <is>
          <t>West</t>
        </is>
      </c>
      <c r="E259" s="25" t="inlineStr">
        <is>
          <t>Furniture</t>
        </is>
      </c>
      <c r="F259" s="25" t="inlineStr">
        <is>
          <t>Bookshelf</t>
        </is>
      </c>
      <c r="G259" s="25" t="n">
        <v>3</v>
      </c>
      <c r="H259" s="27" t="n">
        <v>6200</v>
      </c>
      <c r="I259" s="28" t="n">
        <v>0.15</v>
      </c>
      <c r="J259" s="27" t="n">
        <v>4100</v>
      </c>
      <c r="K259" s="27">
        <f>G259*H259*(1-I259)</f>
        <v/>
      </c>
      <c r="L259" s="27">
        <f>K259-G259*J259</f>
        <v/>
      </c>
    </row>
    <row r="260">
      <c r="A260" s="25" t="inlineStr">
        <is>
          <t>ORD-11070</t>
        </is>
      </c>
      <c r="B260" s="26" t="n">
        <v>45742</v>
      </c>
      <c r="C260" s="25">
        <f>MONTH(B260)</f>
        <v/>
      </c>
      <c r="D260" s="25" t="inlineStr">
        <is>
          <t>West</t>
        </is>
      </c>
      <c r="E260" s="25" t="inlineStr">
        <is>
          <t>Accessories</t>
        </is>
      </c>
      <c r="F260" s="25" t="inlineStr">
        <is>
          <t>Webcam</t>
        </is>
      </c>
      <c r="G260" s="25" t="n">
        <v>3</v>
      </c>
      <c r="H260" s="27" t="n">
        <v>3200</v>
      </c>
      <c r="I260" s="28" t="n">
        <v>0.1</v>
      </c>
      <c r="J260" s="27" t="n">
        <v>1900</v>
      </c>
      <c r="K260" s="27">
        <f>G260*H260*(1-I260)</f>
        <v/>
      </c>
      <c r="L260" s="27">
        <f>K260-G260*J260</f>
        <v/>
      </c>
    </row>
    <row r="261">
      <c r="A261" s="25" t="inlineStr">
        <is>
          <t>ORD-10302</t>
        </is>
      </c>
      <c r="B261" s="26" t="n">
        <v>45743</v>
      </c>
      <c r="C261" s="25">
        <f>MONTH(B261)</f>
        <v/>
      </c>
      <c r="D261" s="25" t="inlineStr">
        <is>
          <t>West</t>
        </is>
      </c>
      <c r="E261" s="25" t="inlineStr">
        <is>
          <t>Furniture</t>
        </is>
      </c>
      <c r="F261" s="25" t="inlineStr">
        <is>
          <t>Standing Desk</t>
        </is>
      </c>
      <c r="G261" s="25" t="n">
        <v>1</v>
      </c>
      <c r="H261" s="27" t="n">
        <v>19500</v>
      </c>
      <c r="I261" s="28" t="n">
        <v>0.1</v>
      </c>
      <c r="J261" s="27" t="n">
        <v>13800</v>
      </c>
      <c r="K261" s="27">
        <f>G261*H261*(1-I261)</f>
        <v/>
      </c>
      <c r="L261" s="27">
        <f>K261-G261*J261</f>
        <v/>
      </c>
    </row>
    <row r="262">
      <c r="A262" s="25" t="inlineStr">
        <is>
          <t>ORD-10387</t>
        </is>
      </c>
      <c r="B262" s="26" t="n">
        <v>45743</v>
      </c>
      <c r="C262" s="25">
        <f>MONTH(B262)</f>
        <v/>
      </c>
      <c r="D262" s="25" t="inlineStr">
        <is>
          <t>South</t>
        </is>
      </c>
      <c r="E262" s="25" t="inlineStr">
        <is>
          <t>Office Supplies</t>
        </is>
      </c>
      <c r="F262" s="25" t="inlineStr">
        <is>
          <t>Notebook Set</t>
        </is>
      </c>
      <c r="G262" s="25" t="n">
        <v>2</v>
      </c>
      <c r="H262" s="27" t="n">
        <v>450</v>
      </c>
      <c r="I262" s="28" t="n">
        <v>0.15</v>
      </c>
      <c r="J262" s="27" t="n">
        <v>190</v>
      </c>
      <c r="K262" s="27">
        <f>G262*H262*(1-I262)</f>
        <v/>
      </c>
      <c r="L262" s="27">
        <f>K262-G262*J262</f>
        <v/>
      </c>
    </row>
    <row r="263">
      <c r="A263" s="25" t="inlineStr">
        <is>
          <t>ORD-10624</t>
        </is>
      </c>
      <c r="B263" s="26" t="n">
        <v>45743</v>
      </c>
      <c r="C263" s="25">
        <f>MONTH(B263)</f>
        <v/>
      </c>
      <c r="D263" s="25" t="inlineStr">
        <is>
          <t>West</t>
        </is>
      </c>
      <c r="E263" s="25" t="inlineStr">
        <is>
          <t>Furniture</t>
        </is>
      </c>
      <c r="F263" s="25" t="inlineStr">
        <is>
          <t>Office Chair</t>
        </is>
      </c>
      <c r="G263" s="25" t="n">
        <v>1</v>
      </c>
      <c r="H263" s="27" t="n">
        <v>8500</v>
      </c>
      <c r="I263" s="28" t="n">
        <v>0</v>
      </c>
      <c r="J263" s="27" t="n">
        <v>5600</v>
      </c>
      <c r="K263" s="27">
        <f>G263*H263*(1-I263)</f>
        <v/>
      </c>
      <c r="L263" s="27">
        <f>K263-G263*J263</f>
        <v/>
      </c>
    </row>
    <row r="264">
      <c r="A264" s="25" t="inlineStr">
        <is>
          <t>ORD-10649</t>
        </is>
      </c>
      <c r="B264" s="26" t="n">
        <v>45743</v>
      </c>
      <c r="C264" s="25">
        <f>MONTH(B264)</f>
        <v/>
      </c>
      <c r="D264" s="25" t="inlineStr">
        <is>
          <t>East</t>
        </is>
      </c>
      <c r="E264" s="25" t="inlineStr">
        <is>
          <t>Furniture</t>
        </is>
      </c>
      <c r="F264" s="25" t="inlineStr">
        <is>
          <t>Bookshelf</t>
        </is>
      </c>
      <c r="G264" s="25" t="n">
        <v>1</v>
      </c>
      <c r="H264" s="27" t="n">
        <v>6200</v>
      </c>
      <c r="I264" s="28" t="n">
        <v>0.1</v>
      </c>
      <c r="J264" s="27" t="n">
        <v>4100</v>
      </c>
      <c r="K264" s="27">
        <f>G264*H264*(1-I264)</f>
        <v/>
      </c>
      <c r="L264" s="27">
        <f>K264-G264*J264</f>
        <v/>
      </c>
    </row>
    <row r="265">
      <c r="A265" s="25" t="inlineStr">
        <is>
          <t>ORD-10896</t>
        </is>
      </c>
      <c r="B265" s="26" t="n">
        <v>45743</v>
      </c>
      <c r="C265" s="25">
        <f>MONTH(B265)</f>
        <v/>
      </c>
      <c r="D265" s="25" t="inlineStr">
        <is>
          <t>North</t>
        </is>
      </c>
      <c r="E265" s="25" t="inlineStr">
        <is>
          <t>Office Supplies</t>
        </is>
      </c>
      <c r="F265" s="25" t="inlineStr">
        <is>
          <t>Desk Organizer</t>
        </is>
      </c>
      <c r="G265" s="25" t="n">
        <v>5</v>
      </c>
      <c r="H265" s="27" t="n">
        <v>850</v>
      </c>
      <c r="I265" s="28" t="n">
        <v>0.2</v>
      </c>
      <c r="J265" s="27" t="n">
        <v>420</v>
      </c>
      <c r="K265" s="27">
        <f>G265*H265*(1-I265)</f>
        <v/>
      </c>
      <c r="L265" s="27">
        <f>K265-G265*J265</f>
        <v/>
      </c>
    </row>
    <row r="266">
      <c r="A266" s="25" t="inlineStr">
        <is>
          <t>ORD-10311</t>
        </is>
      </c>
      <c r="B266" s="26" t="n">
        <v>45744</v>
      </c>
      <c r="C266" s="25">
        <f>MONTH(B266)</f>
        <v/>
      </c>
      <c r="D266" s="25" t="inlineStr">
        <is>
          <t>South</t>
        </is>
      </c>
      <c r="E266" s="25" t="inlineStr">
        <is>
          <t>Technology</t>
        </is>
      </c>
      <c r="F266" s="25" t="inlineStr">
        <is>
          <t>Wireless Mouse</t>
        </is>
      </c>
      <c r="G266" s="25" t="n">
        <v>5</v>
      </c>
      <c r="H266" s="27" t="n">
        <v>1200</v>
      </c>
      <c r="I266" s="28" t="n">
        <v>0.05</v>
      </c>
      <c r="J266" s="27" t="n">
        <v>650</v>
      </c>
      <c r="K266" s="27">
        <f>G266*H266*(1-I266)</f>
        <v/>
      </c>
      <c r="L266" s="27">
        <f>K266-G266*J266</f>
        <v/>
      </c>
    </row>
    <row r="267">
      <c r="A267" s="25" t="inlineStr">
        <is>
          <t>ORD-10640</t>
        </is>
      </c>
      <c r="B267" s="26" t="n">
        <v>45744</v>
      </c>
      <c r="C267" s="25">
        <f>MONTH(B267)</f>
        <v/>
      </c>
      <c r="D267" s="25" t="inlineStr">
        <is>
          <t>North</t>
        </is>
      </c>
      <c r="E267" s="25" t="inlineStr">
        <is>
          <t>Office Supplies</t>
        </is>
      </c>
      <c r="F267" s="25" t="inlineStr">
        <is>
          <t>Notebook Set</t>
        </is>
      </c>
      <c r="G267" s="25" t="n">
        <v>2</v>
      </c>
      <c r="H267" s="27" t="n">
        <v>450</v>
      </c>
      <c r="I267" s="28" t="n">
        <v>0</v>
      </c>
      <c r="J267" s="27" t="n">
        <v>190</v>
      </c>
      <c r="K267" s="27">
        <f>G267*H267*(1-I267)</f>
        <v/>
      </c>
      <c r="L267" s="27">
        <f>K267-G267*J267</f>
        <v/>
      </c>
    </row>
    <row r="268">
      <c r="A268" s="25" t="inlineStr">
        <is>
          <t>ORD-10840</t>
        </is>
      </c>
      <c r="B268" s="26" t="n">
        <v>45744</v>
      </c>
      <c r="C268" s="25">
        <f>MONTH(B268)</f>
        <v/>
      </c>
      <c r="D268" s="25" t="inlineStr">
        <is>
          <t>North</t>
        </is>
      </c>
      <c r="E268" s="25" t="inlineStr">
        <is>
          <t>Office Supplies</t>
        </is>
      </c>
      <c r="F268" s="25" t="inlineStr">
        <is>
          <t>Desk Organizer</t>
        </is>
      </c>
      <c r="G268" s="25" t="n">
        <v>3</v>
      </c>
      <c r="H268" s="27" t="n">
        <v>850</v>
      </c>
      <c r="I268" s="28" t="n">
        <v>0</v>
      </c>
      <c r="J268" s="27" t="n">
        <v>420</v>
      </c>
      <c r="K268" s="27">
        <f>G268*H268*(1-I268)</f>
        <v/>
      </c>
      <c r="L268" s="27">
        <f>K268-G268*J268</f>
        <v/>
      </c>
    </row>
    <row r="269">
      <c r="A269" s="25" t="inlineStr">
        <is>
          <t>ORD-10451</t>
        </is>
      </c>
      <c r="B269" s="26" t="n">
        <v>45748</v>
      </c>
      <c r="C269" s="25">
        <f>MONTH(B269)</f>
        <v/>
      </c>
      <c r="D269" s="25" t="inlineStr">
        <is>
          <t>South</t>
        </is>
      </c>
      <c r="E269" s="25" t="inlineStr">
        <is>
          <t>Furniture</t>
        </is>
      </c>
      <c r="F269" s="25" t="inlineStr">
        <is>
          <t>Office Chair</t>
        </is>
      </c>
      <c r="G269" s="25" t="n">
        <v>1</v>
      </c>
      <c r="H269" s="27" t="n">
        <v>8500</v>
      </c>
      <c r="I269" s="28" t="n">
        <v>0.2</v>
      </c>
      <c r="J269" s="27" t="n">
        <v>5600</v>
      </c>
      <c r="K269" s="27">
        <f>G269*H269*(1-I269)</f>
        <v/>
      </c>
      <c r="L269" s="27">
        <f>K269-G269*J269</f>
        <v/>
      </c>
    </row>
    <row r="270">
      <c r="A270" s="25" t="inlineStr">
        <is>
          <t>ORD-10778</t>
        </is>
      </c>
      <c r="B270" s="26" t="n">
        <v>45748</v>
      </c>
      <c r="C270" s="25">
        <f>MONTH(B270)</f>
        <v/>
      </c>
      <c r="D270" s="25" t="inlineStr">
        <is>
          <t>North</t>
        </is>
      </c>
      <c r="E270" s="25" t="inlineStr">
        <is>
          <t>Technology</t>
        </is>
      </c>
      <c r="F270" s="25" t="inlineStr">
        <is>
          <t>Wireless Mouse</t>
        </is>
      </c>
      <c r="G270" s="25" t="n">
        <v>3</v>
      </c>
      <c r="H270" s="27" t="n">
        <v>1200</v>
      </c>
      <c r="I270" s="28" t="n">
        <v>0.1</v>
      </c>
      <c r="J270" s="27" t="n">
        <v>650</v>
      </c>
      <c r="K270" s="27">
        <f>G270*H270*(1-I270)</f>
        <v/>
      </c>
      <c r="L270" s="27">
        <f>K270-G270*J270</f>
        <v/>
      </c>
    </row>
    <row r="271">
      <c r="A271" s="25" t="inlineStr">
        <is>
          <t>ORD-10801</t>
        </is>
      </c>
      <c r="B271" s="26" t="n">
        <v>45748</v>
      </c>
      <c r="C271" s="25">
        <f>MONTH(B271)</f>
        <v/>
      </c>
      <c r="D271" s="25" t="inlineStr">
        <is>
          <t>South</t>
        </is>
      </c>
      <c r="E271" s="25" t="inlineStr">
        <is>
          <t>Technology</t>
        </is>
      </c>
      <c r="F271" s="25" t="inlineStr">
        <is>
          <t>Mechanical Keyboard</t>
        </is>
      </c>
      <c r="G271" s="25" t="n">
        <v>1</v>
      </c>
      <c r="H271" s="27" t="n">
        <v>4200</v>
      </c>
      <c r="I271" s="28" t="n">
        <v>0</v>
      </c>
      <c r="J271" s="27" t="n">
        <v>2500</v>
      </c>
      <c r="K271" s="27">
        <f>G271*H271*(1-I271)</f>
        <v/>
      </c>
      <c r="L271" s="27">
        <f>K271-G271*J271</f>
        <v/>
      </c>
    </row>
    <row r="272">
      <c r="A272" s="25" t="inlineStr">
        <is>
          <t>ORD-10014</t>
        </is>
      </c>
      <c r="B272" s="26" t="n">
        <v>45749</v>
      </c>
      <c r="C272" s="25">
        <f>MONTH(B272)</f>
        <v/>
      </c>
      <c r="D272" s="25" t="inlineStr">
        <is>
          <t>West</t>
        </is>
      </c>
      <c r="E272" s="25" t="inlineStr">
        <is>
          <t>Office Supplies</t>
        </is>
      </c>
      <c r="F272" s="25" t="inlineStr">
        <is>
          <t>Notebook Set</t>
        </is>
      </c>
      <c r="G272" s="25" t="n">
        <v>4</v>
      </c>
      <c r="H272" s="27" t="n">
        <v>450</v>
      </c>
      <c r="I272" s="28" t="n">
        <v>0.05</v>
      </c>
      <c r="J272" s="27" t="n">
        <v>190</v>
      </c>
      <c r="K272" s="27">
        <f>G272*H272*(1-I272)</f>
        <v/>
      </c>
      <c r="L272" s="27">
        <f>K272-G272*J272</f>
        <v/>
      </c>
    </row>
    <row r="273">
      <c r="A273" s="25" t="inlineStr">
        <is>
          <t>ORD-10696</t>
        </is>
      </c>
      <c r="B273" s="26" t="n">
        <v>45749</v>
      </c>
      <c r="C273" s="25">
        <f>MONTH(B273)</f>
        <v/>
      </c>
      <c r="D273" s="25" t="inlineStr">
        <is>
          <t>West</t>
        </is>
      </c>
      <c r="E273" s="25" t="inlineStr">
        <is>
          <t>Furniture</t>
        </is>
      </c>
      <c r="F273" s="25" t="inlineStr">
        <is>
          <t>Standing Desk</t>
        </is>
      </c>
      <c r="G273" s="25" t="n">
        <v>1</v>
      </c>
      <c r="H273" s="27" t="n">
        <v>19500</v>
      </c>
      <c r="I273" s="28" t="n">
        <v>0</v>
      </c>
      <c r="J273" s="27" t="n">
        <v>13800</v>
      </c>
      <c r="K273" s="27">
        <f>G273*H273*(1-I273)</f>
        <v/>
      </c>
      <c r="L273" s="27">
        <f>K273-G273*J273</f>
        <v/>
      </c>
    </row>
    <row r="274">
      <c r="A274" s="25" t="inlineStr">
        <is>
          <t>ORD-10482</t>
        </is>
      </c>
      <c r="B274" s="26" t="n">
        <v>45750</v>
      </c>
      <c r="C274" s="25">
        <f>MONTH(B274)</f>
        <v/>
      </c>
      <c r="D274" s="25" t="inlineStr">
        <is>
          <t>South</t>
        </is>
      </c>
      <c r="E274" s="25" t="inlineStr">
        <is>
          <t>Technology</t>
        </is>
      </c>
      <c r="F274" s="25" t="inlineStr">
        <is>
          <t>Monitor 24"</t>
        </is>
      </c>
      <c r="G274" s="25" t="n">
        <v>1</v>
      </c>
      <c r="H274" s="27" t="n">
        <v>11500</v>
      </c>
      <c r="I274" s="28" t="n">
        <v>0</v>
      </c>
      <c r="J274" s="27" t="n">
        <v>8200</v>
      </c>
      <c r="K274" s="27">
        <f>G274*H274*(1-I274)</f>
        <v/>
      </c>
      <c r="L274" s="27">
        <f>K274-G274*J274</f>
        <v/>
      </c>
    </row>
    <row r="275">
      <c r="A275" s="25" t="inlineStr">
        <is>
          <t>ORD-10805</t>
        </is>
      </c>
      <c r="B275" s="26" t="n">
        <v>45750</v>
      </c>
      <c r="C275" s="25">
        <f>MONTH(B275)</f>
        <v/>
      </c>
      <c r="D275" s="25" t="inlineStr">
        <is>
          <t>South</t>
        </is>
      </c>
      <c r="E275" s="25" t="inlineStr">
        <is>
          <t>Office Supplies</t>
        </is>
      </c>
      <c r="F275" s="25" t="inlineStr">
        <is>
          <t>Notebook Set</t>
        </is>
      </c>
      <c r="G275" s="25" t="n">
        <v>6</v>
      </c>
      <c r="H275" s="27" t="n">
        <v>450</v>
      </c>
      <c r="I275" s="28" t="n">
        <v>0</v>
      </c>
      <c r="J275" s="27" t="n">
        <v>190</v>
      </c>
      <c r="K275" s="27">
        <f>G275*H275*(1-I275)</f>
        <v/>
      </c>
      <c r="L275" s="27">
        <f>K275-G275*J275</f>
        <v/>
      </c>
    </row>
    <row r="276">
      <c r="A276" s="25" t="inlineStr">
        <is>
          <t>ORD-10080</t>
        </is>
      </c>
      <c r="B276" s="26" t="n">
        <v>45751</v>
      </c>
      <c r="C276" s="25">
        <f>MONTH(B276)</f>
        <v/>
      </c>
      <c r="D276" s="25" t="inlineStr">
        <is>
          <t>North</t>
        </is>
      </c>
      <c r="E276" s="25" t="inlineStr">
        <is>
          <t>Office Supplies</t>
        </is>
      </c>
      <c r="F276" s="25" t="inlineStr">
        <is>
          <t>Desk Organizer</t>
        </is>
      </c>
      <c r="G276" s="25" t="n">
        <v>2</v>
      </c>
      <c r="H276" s="27" t="n">
        <v>850</v>
      </c>
      <c r="I276" s="28" t="n">
        <v>0.05</v>
      </c>
      <c r="J276" s="27" t="n">
        <v>420</v>
      </c>
      <c r="K276" s="27">
        <f>G276*H276*(1-I276)</f>
        <v/>
      </c>
      <c r="L276" s="27">
        <f>K276-G276*J276</f>
        <v/>
      </c>
    </row>
    <row r="277">
      <c r="A277" s="25" t="inlineStr">
        <is>
          <t>ORD-10730</t>
        </is>
      </c>
      <c r="B277" s="26" t="n">
        <v>45751</v>
      </c>
      <c r="C277" s="25">
        <f>MONTH(B277)</f>
        <v/>
      </c>
      <c r="D277" s="25" t="inlineStr">
        <is>
          <t>West</t>
        </is>
      </c>
      <c r="E277" s="25" t="inlineStr">
        <is>
          <t>Office Supplies</t>
        </is>
      </c>
      <c r="F277" s="25" t="inlineStr">
        <is>
          <t>Printer Paper Box</t>
        </is>
      </c>
      <c r="G277" s="25" t="n">
        <v>2</v>
      </c>
      <c r="H277" s="27" t="n">
        <v>1600</v>
      </c>
      <c r="I277" s="28" t="n">
        <v>0</v>
      </c>
      <c r="J277" s="27" t="n">
        <v>1050</v>
      </c>
      <c r="K277" s="27">
        <f>G277*H277*(1-I277)</f>
        <v/>
      </c>
      <c r="L277" s="27">
        <f>K277-G277*J277</f>
        <v/>
      </c>
    </row>
    <row r="278">
      <c r="A278" s="25" t="inlineStr">
        <is>
          <t>ORD-10827</t>
        </is>
      </c>
      <c r="B278" s="26" t="n">
        <v>45751</v>
      </c>
      <c r="C278" s="25">
        <f>MONTH(B278)</f>
        <v/>
      </c>
      <c r="D278" s="25" t="inlineStr">
        <is>
          <t>South</t>
        </is>
      </c>
      <c r="E278" s="25" t="inlineStr">
        <is>
          <t>Technology</t>
        </is>
      </c>
      <c r="F278" s="25" t="inlineStr">
        <is>
          <t>Monitor 24"</t>
        </is>
      </c>
      <c r="G278" s="25" t="n">
        <v>2</v>
      </c>
      <c r="H278" s="27" t="n">
        <v>11500</v>
      </c>
      <c r="I278" s="28" t="n">
        <v>0</v>
      </c>
      <c r="J278" s="27" t="n">
        <v>8200</v>
      </c>
      <c r="K278" s="27">
        <f>G278*H278*(1-I278)</f>
        <v/>
      </c>
      <c r="L278" s="27">
        <f>K278-G278*J278</f>
        <v/>
      </c>
    </row>
    <row r="279">
      <c r="A279" s="25" t="inlineStr">
        <is>
          <t>ORD-11020</t>
        </is>
      </c>
      <c r="B279" s="26" t="n">
        <v>45751</v>
      </c>
      <c r="C279" s="25">
        <f>MONTH(B279)</f>
        <v/>
      </c>
      <c r="D279" s="25" t="inlineStr">
        <is>
          <t>North</t>
        </is>
      </c>
      <c r="E279" s="25" t="inlineStr">
        <is>
          <t>Technology</t>
        </is>
      </c>
      <c r="F279" s="25" t="inlineStr">
        <is>
          <t>Wireless Mouse</t>
        </is>
      </c>
      <c r="G279" s="25" t="n">
        <v>4</v>
      </c>
      <c r="H279" s="27" t="n">
        <v>1200</v>
      </c>
      <c r="I279" s="28" t="n">
        <v>0.2</v>
      </c>
      <c r="J279" s="27" t="n">
        <v>650</v>
      </c>
      <c r="K279" s="27">
        <f>G279*H279*(1-I279)</f>
        <v/>
      </c>
      <c r="L279" s="27">
        <f>K279-G279*J279</f>
        <v/>
      </c>
    </row>
    <row r="280">
      <c r="A280" s="25" t="inlineStr">
        <is>
          <t>ORD-10304</t>
        </is>
      </c>
      <c r="B280" s="26" t="n">
        <v>45752</v>
      </c>
      <c r="C280" s="25">
        <f>MONTH(B280)</f>
        <v/>
      </c>
      <c r="D280" s="25" t="inlineStr">
        <is>
          <t>West</t>
        </is>
      </c>
      <c r="E280" s="25" t="inlineStr">
        <is>
          <t>Technology</t>
        </is>
      </c>
      <c r="F280" s="25" t="inlineStr">
        <is>
          <t>Monitor 24"</t>
        </is>
      </c>
      <c r="G280" s="25" t="n">
        <v>1</v>
      </c>
      <c r="H280" s="27" t="n">
        <v>11500</v>
      </c>
      <c r="I280" s="28" t="n">
        <v>0.05</v>
      </c>
      <c r="J280" s="27" t="n">
        <v>8200</v>
      </c>
      <c r="K280" s="27">
        <f>G280*H280*(1-I280)</f>
        <v/>
      </c>
      <c r="L280" s="27">
        <f>K280-G280*J280</f>
        <v/>
      </c>
    </row>
    <row r="281">
      <c r="A281" s="25" t="inlineStr">
        <is>
          <t>ORD-10505</t>
        </is>
      </c>
      <c r="B281" s="26" t="n">
        <v>45752</v>
      </c>
      <c r="C281" s="25">
        <f>MONTH(B281)</f>
        <v/>
      </c>
      <c r="D281" s="25" t="inlineStr">
        <is>
          <t>South</t>
        </is>
      </c>
      <c r="E281" s="25" t="inlineStr">
        <is>
          <t>Office Supplies</t>
        </is>
      </c>
      <c r="F281" s="25" t="inlineStr">
        <is>
          <t>Notebook Set</t>
        </is>
      </c>
      <c r="G281" s="25" t="n">
        <v>6</v>
      </c>
      <c r="H281" s="27" t="n">
        <v>450</v>
      </c>
      <c r="I281" s="28" t="n">
        <v>0.2</v>
      </c>
      <c r="J281" s="27" t="n">
        <v>190</v>
      </c>
      <c r="K281" s="27">
        <f>G281*H281*(1-I281)</f>
        <v/>
      </c>
      <c r="L281" s="27">
        <f>K281-G281*J281</f>
        <v/>
      </c>
    </row>
    <row r="282">
      <c r="A282" s="25" t="inlineStr">
        <is>
          <t>ORD-10506</t>
        </is>
      </c>
      <c r="B282" s="26" t="n">
        <v>45752</v>
      </c>
      <c r="C282" s="25">
        <f>MONTH(B282)</f>
        <v/>
      </c>
      <c r="D282" s="25" t="inlineStr">
        <is>
          <t>South</t>
        </is>
      </c>
      <c r="E282" s="25" t="inlineStr">
        <is>
          <t>Accessories</t>
        </is>
      </c>
      <c r="F282" s="25" t="inlineStr">
        <is>
          <t>Headphones</t>
        </is>
      </c>
      <c r="G282" s="25" t="n">
        <v>3</v>
      </c>
      <c r="H282" s="27" t="n">
        <v>4500</v>
      </c>
      <c r="I282" s="28" t="n">
        <v>0</v>
      </c>
      <c r="J282" s="27" t="n">
        <v>2600</v>
      </c>
      <c r="K282" s="27">
        <f>G282*H282*(1-I282)</f>
        <v/>
      </c>
      <c r="L282" s="27">
        <f>K282-G282*J282</f>
        <v/>
      </c>
    </row>
    <row r="283">
      <c r="A283" s="25" t="inlineStr">
        <is>
          <t>ORD-11141</t>
        </is>
      </c>
      <c r="B283" s="26" t="n">
        <v>45752</v>
      </c>
      <c r="C283" s="25">
        <f>MONTH(B283)</f>
        <v/>
      </c>
      <c r="D283" s="25" t="inlineStr">
        <is>
          <t>North</t>
        </is>
      </c>
      <c r="E283" s="25" t="inlineStr">
        <is>
          <t>Technology</t>
        </is>
      </c>
      <c r="F283" s="25" t="inlineStr">
        <is>
          <t>Monitor 24"</t>
        </is>
      </c>
      <c r="G283" s="25" t="n">
        <v>2</v>
      </c>
      <c r="H283" s="27" t="n">
        <v>11500</v>
      </c>
      <c r="I283" s="28" t="n">
        <v>0</v>
      </c>
      <c r="J283" s="27" t="n">
        <v>8200</v>
      </c>
      <c r="K283" s="27">
        <f>G283*H283*(1-I283)</f>
        <v/>
      </c>
      <c r="L283" s="27">
        <f>K283-G283*J283</f>
        <v/>
      </c>
    </row>
    <row r="284">
      <c r="A284" s="25" t="inlineStr">
        <is>
          <t>ORD-10113</t>
        </is>
      </c>
      <c r="B284" s="26" t="n">
        <v>45753</v>
      </c>
      <c r="C284" s="25">
        <f>MONTH(B284)</f>
        <v/>
      </c>
      <c r="D284" s="25" t="inlineStr">
        <is>
          <t>South</t>
        </is>
      </c>
      <c r="E284" s="25" t="inlineStr">
        <is>
          <t>Technology</t>
        </is>
      </c>
      <c r="F284" s="25" t="inlineStr">
        <is>
          <t>Wireless Mouse</t>
        </is>
      </c>
      <c r="G284" s="25" t="n">
        <v>5</v>
      </c>
      <c r="H284" s="27" t="n">
        <v>1200</v>
      </c>
      <c r="I284" s="28" t="n">
        <v>0.05</v>
      </c>
      <c r="J284" s="27" t="n">
        <v>650</v>
      </c>
      <c r="K284" s="27">
        <f>G284*H284*(1-I284)</f>
        <v/>
      </c>
      <c r="L284" s="27">
        <f>K284-G284*J284</f>
        <v/>
      </c>
    </row>
    <row r="285">
      <c r="A285" s="25" t="inlineStr">
        <is>
          <t>ORD-10911</t>
        </is>
      </c>
      <c r="B285" s="26" t="n">
        <v>45753</v>
      </c>
      <c r="C285" s="25">
        <f>MONTH(B285)</f>
        <v/>
      </c>
      <c r="D285" s="25" t="inlineStr">
        <is>
          <t>North</t>
        </is>
      </c>
      <c r="E285" s="25" t="inlineStr">
        <is>
          <t>Furniture</t>
        </is>
      </c>
      <c r="F285" s="25" t="inlineStr">
        <is>
          <t>Bookshelf</t>
        </is>
      </c>
      <c r="G285" s="25" t="n">
        <v>1</v>
      </c>
      <c r="H285" s="27" t="n">
        <v>6200</v>
      </c>
      <c r="I285" s="28" t="n">
        <v>0</v>
      </c>
      <c r="J285" s="27" t="n">
        <v>4100</v>
      </c>
      <c r="K285" s="27">
        <f>G285*H285*(1-I285)</f>
        <v/>
      </c>
      <c r="L285" s="27">
        <f>K285-G285*J285</f>
        <v/>
      </c>
    </row>
    <row r="286">
      <c r="A286" s="25" t="inlineStr">
        <is>
          <t>ORD-10023</t>
        </is>
      </c>
      <c r="B286" s="26" t="n">
        <v>45754</v>
      </c>
      <c r="C286" s="25">
        <f>MONTH(B286)</f>
        <v/>
      </c>
      <c r="D286" s="25" t="inlineStr">
        <is>
          <t>North</t>
        </is>
      </c>
      <c r="E286" s="25" t="inlineStr">
        <is>
          <t>Office Supplies</t>
        </is>
      </c>
      <c r="F286" s="25" t="inlineStr">
        <is>
          <t>Printer Paper Box</t>
        </is>
      </c>
      <c r="G286" s="25" t="n">
        <v>5</v>
      </c>
      <c r="H286" s="27" t="n">
        <v>1600</v>
      </c>
      <c r="I286" s="28" t="n">
        <v>0.1</v>
      </c>
      <c r="J286" s="27" t="n">
        <v>1050</v>
      </c>
      <c r="K286" s="27">
        <f>G286*H286*(1-I286)</f>
        <v/>
      </c>
      <c r="L286" s="27">
        <f>K286-G286*J286</f>
        <v/>
      </c>
    </row>
    <row r="287">
      <c r="A287" s="25" t="inlineStr">
        <is>
          <t>ORD-10389</t>
        </is>
      </c>
      <c r="B287" s="26" t="n">
        <v>45754</v>
      </c>
      <c r="C287" s="25">
        <f>MONTH(B287)</f>
        <v/>
      </c>
      <c r="D287" s="25" t="inlineStr">
        <is>
          <t>North</t>
        </is>
      </c>
      <c r="E287" s="25" t="inlineStr">
        <is>
          <t>Office Supplies</t>
        </is>
      </c>
      <c r="F287" s="25" t="inlineStr">
        <is>
          <t>Desk Organizer</t>
        </is>
      </c>
      <c r="G287" s="25" t="n">
        <v>3</v>
      </c>
      <c r="H287" s="27" t="n">
        <v>850</v>
      </c>
      <c r="I287" s="28" t="n">
        <v>0.2</v>
      </c>
      <c r="J287" s="27" t="n">
        <v>420</v>
      </c>
      <c r="K287" s="27">
        <f>G287*H287*(1-I287)</f>
        <v/>
      </c>
      <c r="L287" s="27">
        <f>K287-G287*J287</f>
        <v/>
      </c>
    </row>
    <row r="288">
      <c r="A288" s="25" t="inlineStr">
        <is>
          <t>ORD-10617</t>
        </is>
      </c>
      <c r="B288" s="26" t="n">
        <v>45754</v>
      </c>
      <c r="C288" s="25">
        <f>MONTH(B288)</f>
        <v/>
      </c>
      <c r="D288" s="25" t="inlineStr">
        <is>
          <t>South</t>
        </is>
      </c>
      <c r="E288" s="25" t="inlineStr">
        <is>
          <t>Furniture</t>
        </is>
      </c>
      <c r="F288" s="25" t="inlineStr">
        <is>
          <t>Office Chair</t>
        </is>
      </c>
      <c r="G288" s="25" t="n">
        <v>2</v>
      </c>
      <c r="H288" s="27" t="n">
        <v>8500</v>
      </c>
      <c r="I288" s="28" t="n">
        <v>0</v>
      </c>
      <c r="J288" s="27" t="n">
        <v>5600</v>
      </c>
      <c r="K288" s="27">
        <f>G288*H288*(1-I288)</f>
        <v/>
      </c>
      <c r="L288" s="27">
        <f>K288-G288*J288</f>
        <v/>
      </c>
    </row>
    <row r="289">
      <c r="A289" s="25" t="inlineStr">
        <is>
          <t>ORD-11096</t>
        </is>
      </c>
      <c r="B289" s="26" t="n">
        <v>45754</v>
      </c>
      <c r="C289" s="25">
        <f>MONTH(B289)</f>
        <v/>
      </c>
      <c r="D289" s="25" t="inlineStr">
        <is>
          <t>West</t>
        </is>
      </c>
      <c r="E289" s="25" t="inlineStr">
        <is>
          <t>Accessories</t>
        </is>
      </c>
      <c r="F289" s="25" t="inlineStr">
        <is>
          <t>Webcam</t>
        </is>
      </c>
      <c r="G289" s="25" t="n">
        <v>3</v>
      </c>
      <c r="H289" s="27" t="n">
        <v>3200</v>
      </c>
      <c r="I289" s="28" t="n">
        <v>0</v>
      </c>
      <c r="J289" s="27" t="n">
        <v>1900</v>
      </c>
      <c r="K289" s="27">
        <f>G289*H289*(1-I289)</f>
        <v/>
      </c>
      <c r="L289" s="27">
        <f>K289-G289*J289</f>
        <v/>
      </c>
    </row>
    <row r="290">
      <c r="A290" s="25" t="inlineStr">
        <is>
          <t>ORD-10524</t>
        </is>
      </c>
      <c r="B290" s="26" t="n">
        <v>45755</v>
      </c>
      <c r="C290" s="25">
        <f>MONTH(B290)</f>
        <v/>
      </c>
      <c r="D290" s="25" t="inlineStr">
        <is>
          <t>East</t>
        </is>
      </c>
      <c r="E290" s="25" t="inlineStr">
        <is>
          <t>Furniture</t>
        </is>
      </c>
      <c r="F290" s="25" t="inlineStr">
        <is>
          <t>Office Chair</t>
        </is>
      </c>
      <c r="G290" s="25" t="n">
        <v>2</v>
      </c>
      <c r="H290" s="27" t="n">
        <v>8500</v>
      </c>
      <c r="I290" s="28" t="n">
        <v>0.05</v>
      </c>
      <c r="J290" s="27" t="n">
        <v>5600</v>
      </c>
      <c r="K290" s="27">
        <f>G290*H290*(1-I290)</f>
        <v/>
      </c>
      <c r="L290" s="27">
        <f>K290-G290*J290</f>
        <v/>
      </c>
    </row>
    <row r="291">
      <c r="A291" s="25" t="inlineStr">
        <is>
          <t>ORD-10063</t>
        </is>
      </c>
      <c r="B291" s="26" t="n">
        <v>45756</v>
      </c>
      <c r="C291" s="25">
        <f>MONTH(B291)</f>
        <v/>
      </c>
      <c r="D291" s="25" t="inlineStr">
        <is>
          <t>South</t>
        </is>
      </c>
      <c r="E291" s="25" t="inlineStr">
        <is>
          <t>Office Supplies</t>
        </is>
      </c>
      <c r="F291" s="25" t="inlineStr">
        <is>
          <t>Notebook Set</t>
        </is>
      </c>
      <c r="G291" s="25" t="n">
        <v>8</v>
      </c>
      <c r="H291" s="27" t="n">
        <v>450</v>
      </c>
      <c r="I291" s="28" t="n">
        <v>0.05</v>
      </c>
      <c r="J291" s="27" t="n">
        <v>190</v>
      </c>
      <c r="K291" s="27">
        <f>G291*H291*(1-I291)</f>
        <v/>
      </c>
      <c r="L291" s="27">
        <f>K291-G291*J291</f>
        <v/>
      </c>
    </row>
    <row r="292">
      <c r="A292" s="25" t="inlineStr">
        <is>
          <t>ORD-10235</t>
        </is>
      </c>
      <c r="B292" s="26" t="n">
        <v>45756</v>
      </c>
      <c r="C292" s="25">
        <f>MONTH(B292)</f>
        <v/>
      </c>
      <c r="D292" s="25" t="inlineStr">
        <is>
          <t>West</t>
        </is>
      </c>
      <c r="E292" s="25" t="inlineStr">
        <is>
          <t>Accessories</t>
        </is>
      </c>
      <c r="F292" s="25" t="inlineStr">
        <is>
          <t>Headphones</t>
        </is>
      </c>
      <c r="G292" s="25" t="n">
        <v>2</v>
      </c>
      <c r="H292" s="27" t="n">
        <v>4500</v>
      </c>
      <c r="I292" s="28" t="n">
        <v>0.1</v>
      </c>
      <c r="J292" s="27" t="n">
        <v>2600</v>
      </c>
      <c r="K292" s="27">
        <f>G292*H292*(1-I292)</f>
        <v/>
      </c>
      <c r="L292" s="27">
        <f>K292-G292*J292</f>
        <v/>
      </c>
    </row>
    <row r="293">
      <c r="A293" s="25" t="inlineStr">
        <is>
          <t>ORD-10667</t>
        </is>
      </c>
      <c r="B293" s="26" t="n">
        <v>45756</v>
      </c>
      <c r="C293" s="25">
        <f>MONTH(B293)</f>
        <v/>
      </c>
      <c r="D293" s="25" t="inlineStr">
        <is>
          <t>South</t>
        </is>
      </c>
      <c r="E293" s="25" t="inlineStr">
        <is>
          <t>Accessories</t>
        </is>
      </c>
      <c r="F293" s="25" t="inlineStr">
        <is>
          <t>Headphones</t>
        </is>
      </c>
      <c r="G293" s="25" t="n">
        <v>2</v>
      </c>
      <c r="H293" s="27" t="n">
        <v>4500</v>
      </c>
      <c r="I293" s="28" t="n">
        <v>0.05</v>
      </c>
      <c r="J293" s="27" t="n">
        <v>2600</v>
      </c>
      <c r="K293" s="27">
        <f>G293*H293*(1-I293)</f>
        <v/>
      </c>
      <c r="L293" s="27">
        <f>K293-G293*J293</f>
        <v/>
      </c>
    </row>
    <row r="294">
      <c r="A294" s="25" t="inlineStr">
        <is>
          <t>ORD-10300</t>
        </is>
      </c>
      <c r="B294" s="26" t="n">
        <v>45758</v>
      </c>
      <c r="C294" s="25">
        <f>MONTH(B294)</f>
        <v/>
      </c>
      <c r="D294" s="25" t="inlineStr">
        <is>
          <t>West</t>
        </is>
      </c>
      <c r="E294" s="25" t="inlineStr">
        <is>
          <t>Furniture</t>
        </is>
      </c>
      <c r="F294" s="25" t="inlineStr">
        <is>
          <t>Office Chair</t>
        </is>
      </c>
      <c r="G294" s="25" t="n">
        <v>1</v>
      </c>
      <c r="H294" s="27" t="n">
        <v>8500</v>
      </c>
      <c r="I294" s="28" t="n">
        <v>0</v>
      </c>
      <c r="J294" s="27" t="n">
        <v>5600</v>
      </c>
      <c r="K294" s="27">
        <f>G294*H294*(1-I294)</f>
        <v/>
      </c>
      <c r="L294" s="27">
        <f>K294-G294*J294</f>
        <v/>
      </c>
    </row>
    <row r="295">
      <c r="A295" s="25" t="inlineStr">
        <is>
          <t>ORD-10322</t>
        </is>
      </c>
      <c r="B295" s="26" t="n">
        <v>45758</v>
      </c>
      <c r="C295" s="25">
        <f>MONTH(B295)</f>
        <v/>
      </c>
      <c r="D295" s="25" t="inlineStr">
        <is>
          <t>South</t>
        </is>
      </c>
      <c r="E295" s="25" t="inlineStr">
        <is>
          <t>Technology</t>
        </is>
      </c>
      <c r="F295" s="25" t="inlineStr">
        <is>
          <t>Mechanical Keyboard</t>
        </is>
      </c>
      <c r="G295" s="25" t="n">
        <v>3</v>
      </c>
      <c r="H295" s="27" t="n">
        <v>4200</v>
      </c>
      <c r="I295" s="28" t="n">
        <v>0.05</v>
      </c>
      <c r="J295" s="27" t="n">
        <v>2500</v>
      </c>
      <c r="K295" s="27">
        <f>G295*H295*(1-I295)</f>
        <v/>
      </c>
      <c r="L295" s="27">
        <f>K295-G295*J295</f>
        <v/>
      </c>
    </row>
    <row r="296">
      <c r="A296" s="25" t="inlineStr">
        <is>
          <t>ORD-10549</t>
        </is>
      </c>
      <c r="B296" s="26" t="n">
        <v>45758</v>
      </c>
      <c r="C296" s="25">
        <f>MONTH(B296)</f>
        <v/>
      </c>
      <c r="D296" s="25" t="inlineStr">
        <is>
          <t>East</t>
        </is>
      </c>
      <c r="E296" s="25" t="inlineStr">
        <is>
          <t>Technology</t>
        </is>
      </c>
      <c r="F296" s="25" t="inlineStr">
        <is>
          <t>Wireless Mouse</t>
        </is>
      </c>
      <c r="G296" s="25" t="n">
        <v>2</v>
      </c>
      <c r="H296" s="27" t="n">
        <v>1200</v>
      </c>
      <c r="I296" s="28" t="n">
        <v>0.2</v>
      </c>
      <c r="J296" s="27" t="n">
        <v>650</v>
      </c>
      <c r="K296" s="27">
        <f>G296*H296*(1-I296)</f>
        <v/>
      </c>
      <c r="L296" s="27">
        <f>K296-G296*J296</f>
        <v/>
      </c>
    </row>
    <row r="297">
      <c r="A297" s="25" t="inlineStr">
        <is>
          <t>ORD-10671</t>
        </is>
      </c>
      <c r="B297" s="26" t="n">
        <v>45758</v>
      </c>
      <c r="C297" s="25">
        <f>MONTH(B297)</f>
        <v/>
      </c>
      <c r="D297" s="25" t="inlineStr">
        <is>
          <t>South</t>
        </is>
      </c>
      <c r="E297" s="25" t="inlineStr">
        <is>
          <t>Office Supplies</t>
        </is>
      </c>
      <c r="F297" s="25" t="inlineStr">
        <is>
          <t>Notebook Set</t>
        </is>
      </c>
      <c r="G297" s="25" t="n">
        <v>7</v>
      </c>
      <c r="H297" s="27" t="n">
        <v>450</v>
      </c>
      <c r="I297" s="28" t="n">
        <v>0.1</v>
      </c>
      <c r="J297" s="27" t="n">
        <v>190</v>
      </c>
      <c r="K297" s="27">
        <f>G297*H297*(1-I297)</f>
        <v/>
      </c>
      <c r="L297" s="27">
        <f>K297-G297*J297</f>
        <v/>
      </c>
    </row>
    <row r="298">
      <c r="A298" s="25" t="inlineStr">
        <is>
          <t>ORD-11147</t>
        </is>
      </c>
      <c r="B298" s="26" t="n">
        <v>45758</v>
      </c>
      <c r="C298" s="25">
        <f>MONTH(B298)</f>
        <v/>
      </c>
      <c r="D298" s="25" t="inlineStr">
        <is>
          <t>West</t>
        </is>
      </c>
      <c r="E298" s="25" t="inlineStr">
        <is>
          <t>Office Supplies</t>
        </is>
      </c>
      <c r="F298" s="25" t="inlineStr">
        <is>
          <t>Notebook Set</t>
        </is>
      </c>
      <c r="G298" s="25" t="n">
        <v>2</v>
      </c>
      <c r="H298" s="27" t="n">
        <v>450</v>
      </c>
      <c r="I298" s="28" t="n">
        <v>0.05</v>
      </c>
      <c r="J298" s="27" t="n">
        <v>190</v>
      </c>
      <c r="K298" s="27">
        <f>G298*H298*(1-I298)</f>
        <v/>
      </c>
      <c r="L298" s="27">
        <f>K298-G298*J298</f>
        <v/>
      </c>
    </row>
    <row r="299">
      <c r="A299" s="25" t="inlineStr">
        <is>
          <t>ORD-10441</t>
        </is>
      </c>
      <c r="B299" s="26" t="n">
        <v>45759</v>
      </c>
      <c r="C299" s="25">
        <f>MONTH(B299)</f>
        <v/>
      </c>
      <c r="D299" s="25" t="inlineStr">
        <is>
          <t>West</t>
        </is>
      </c>
      <c r="E299" s="25" t="inlineStr">
        <is>
          <t>Office Supplies</t>
        </is>
      </c>
      <c r="F299" s="25" t="inlineStr">
        <is>
          <t>Desk Organizer</t>
        </is>
      </c>
      <c r="G299" s="25" t="n">
        <v>4</v>
      </c>
      <c r="H299" s="27" t="n">
        <v>850</v>
      </c>
      <c r="I299" s="28" t="n">
        <v>0</v>
      </c>
      <c r="J299" s="27" t="n">
        <v>420</v>
      </c>
      <c r="K299" s="27">
        <f>G299*H299*(1-I299)</f>
        <v/>
      </c>
      <c r="L299" s="27">
        <f>K299-G299*J299</f>
        <v/>
      </c>
    </row>
    <row r="300">
      <c r="A300" s="25" t="inlineStr">
        <is>
          <t>ORD-10661</t>
        </is>
      </c>
      <c r="B300" s="26" t="n">
        <v>45759</v>
      </c>
      <c r="C300" s="25">
        <f>MONTH(B300)</f>
        <v/>
      </c>
      <c r="D300" s="25" t="inlineStr">
        <is>
          <t>East</t>
        </is>
      </c>
      <c r="E300" s="25" t="inlineStr">
        <is>
          <t>Technology</t>
        </is>
      </c>
      <c r="F300" s="25" t="inlineStr">
        <is>
          <t>Wireless Mouse</t>
        </is>
      </c>
      <c r="G300" s="25" t="n">
        <v>5</v>
      </c>
      <c r="H300" s="27" t="n">
        <v>1200</v>
      </c>
      <c r="I300" s="28" t="n">
        <v>0</v>
      </c>
      <c r="J300" s="27" t="n">
        <v>650</v>
      </c>
      <c r="K300" s="27">
        <f>G300*H300*(1-I300)</f>
        <v/>
      </c>
      <c r="L300" s="27">
        <f>K300-G300*J300</f>
        <v/>
      </c>
    </row>
    <row r="301">
      <c r="A301" s="25" t="inlineStr">
        <is>
          <t>ORD-11088</t>
        </is>
      </c>
      <c r="B301" s="26" t="n">
        <v>45759</v>
      </c>
      <c r="C301" s="25">
        <f>MONTH(B301)</f>
        <v/>
      </c>
      <c r="D301" s="25" t="inlineStr">
        <is>
          <t>West</t>
        </is>
      </c>
      <c r="E301" s="25" t="inlineStr">
        <is>
          <t>Accessories</t>
        </is>
      </c>
      <c r="F301" s="25" t="inlineStr">
        <is>
          <t>USB-C Hub</t>
        </is>
      </c>
      <c r="G301" s="25" t="n">
        <v>4</v>
      </c>
      <c r="H301" s="27" t="n">
        <v>1800</v>
      </c>
      <c r="I301" s="28" t="n">
        <v>0</v>
      </c>
      <c r="J301" s="27" t="n">
        <v>980</v>
      </c>
      <c r="K301" s="27">
        <f>G301*H301*(1-I301)</f>
        <v/>
      </c>
      <c r="L301" s="27">
        <f>K301-G301*J301</f>
        <v/>
      </c>
    </row>
    <row r="302">
      <c r="A302" s="25" t="inlineStr">
        <is>
          <t>ORD-11149</t>
        </is>
      </c>
      <c r="B302" s="26" t="n">
        <v>45759</v>
      </c>
      <c r="C302" s="25">
        <f>MONTH(B302)</f>
        <v/>
      </c>
      <c r="D302" s="25" t="inlineStr">
        <is>
          <t>South</t>
        </is>
      </c>
      <c r="E302" s="25" t="inlineStr">
        <is>
          <t>Furniture</t>
        </is>
      </c>
      <c r="F302" s="25" t="inlineStr">
        <is>
          <t>Office Chair</t>
        </is>
      </c>
      <c r="G302" s="25" t="n">
        <v>1</v>
      </c>
      <c r="H302" s="27" t="n">
        <v>8500</v>
      </c>
      <c r="I302" s="28" t="n">
        <v>0.05</v>
      </c>
      <c r="J302" s="27" t="n">
        <v>5600</v>
      </c>
      <c r="K302" s="27">
        <f>G302*H302*(1-I302)</f>
        <v/>
      </c>
      <c r="L302" s="27">
        <f>K302-G302*J302</f>
        <v/>
      </c>
    </row>
    <row r="303">
      <c r="A303" s="25" t="inlineStr">
        <is>
          <t>ORD-10747</t>
        </is>
      </c>
      <c r="B303" s="26" t="n">
        <v>45760</v>
      </c>
      <c r="C303" s="25">
        <f>MONTH(B303)</f>
        <v/>
      </c>
      <c r="D303" s="25" t="inlineStr">
        <is>
          <t>West</t>
        </is>
      </c>
      <c r="E303" s="25" t="inlineStr">
        <is>
          <t>Furniture</t>
        </is>
      </c>
      <c r="F303" s="25" t="inlineStr">
        <is>
          <t>Standing Desk</t>
        </is>
      </c>
      <c r="G303" s="25" t="n">
        <v>1</v>
      </c>
      <c r="H303" s="27" t="n">
        <v>19500</v>
      </c>
      <c r="I303" s="28" t="n">
        <v>0.15</v>
      </c>
      <c r="J303" s="27" t="n">
        <v>13800</v>
      </c>
      <c r="K303" s="27">
        <f>G303*H303*(1-I303)</f>
        <v/>
      </c>
      <c r="L303" s="27">
        <f>K303-G303*J303</f>
        <v/>
      </c>
    </row>
    <row r="304">
      <c r="A304" s="25" t="inlineStr">
        <is>
          <t>ORD-10802</t>
        </is>
      </c>
      <c r="B304" s="26" t="n">
        <v>45760</v>
      </c>
      <c r="C304" s="25">
        <f>MONTH(B304)</f>
        <v/>
      </c>
      <c r="D304" s="25" t="inlineStr">
        <is>
          <t>West</t>
        </is>
      </c>
      <c r="E304" s="25" t="inlineStr">
        <is>
          <t>Technology</t>
        </is>
      </c>
      <c r="F304" s="25" t="inlineStr">
        <is>
          <t>Monitor 24"</t>
        </is>
      </c>
      <c r="G304" s="25" t="n">
        <v>1</v>
      </c>
      <c r="H304" s="27" t="n">
        <v>11500</v>
      </c>
      <c r="I304" s="28" t="n">
        <v>0</v>
      </c>
      <c r="J304" s="27" t="n">
        <v>8200</v>
      </c>
      <c r="K304" s="27">
        <f>G304*H304*(1-I304)</f>
        <v/>
      </c>
      <c r="L304" s="27">
        <f>K304-G304*J304</f>
        <v/>
      </c>
    </row>
    <row r="305">
      <c r="A305" s="25" t="inlineStr">
        <is>
          <t>ORD-10688</t>
        </is>
      </c>
      <c r="B305" s="26" t="n">
        <v>45761</v>
      </c>
      <c r="C305" s="25">
        <f>MONTH(B305)</f>
        <v/>
      </c>
      <c r="D305" s="25" t="inlineStr">
        <is>
          <t>North</t>
        </is>
      </c>
      <c r="E305" s="25" t="inlineStr">
        <is>
          <t>Accessories</t>
        </is>
      </c>
      <c r="F305" s="25" t="inlineStr">
        <is>
          <t>Webcam</t>
        </is>
      </c>
      <c r="G305" s="25" t="n">
        <v>1</v>
      </c>
      <c r="H305" s="27" t="n">
        <v>3200</v>
      </c>
      <c r="I305" s="28" t="n">
        <v>0</v>
      </c>
      <c r="J305" s="27" t="n">
        <v>1900</v>
      </c>
      <c r="K305" s="27">
        <f>G305*H305*(1-I305)</f>
        <v/>
      </c>
      <c r="L305" s="27">
        <f>K305-G305*J305</f>
        <v/>
      </c>
    </row>
    <row r="306">
      <c r="A306" s="25" t="inlineStr">
        <is>
          <t>ORD-10788</t>
        </is>
      </c>
      <c r="B306" s="26" t="n">
        <v>45761</v>
      </c>
      <c r="C306" s="25">
        <f>MONTH(B306)</f>
        <v/>
      </c>
      <c r="D306" s="25" t="inlineStr">
        <is>
          <t>North</t>
        </is>
      </c>
      <c r="E306" s="25" t="inlineStr">
        <is>
          <t>Furniture</t>
        </is>
      </c>
      <c r="F306" s="25" t="inlineStr">
        <is>
          <t>Bookshelf</t>
        </is>
      </c>
      <c r="G306" s="25" t="n">
        <v>3</v>
      </c>
      <c r="H306" s="27" t="n">
        <v>6200</v>
      </c>
      <c r="I306" s="28" t="n">
        <v>0</v>
      </c>
      <c r="J306" s="27" t="n">
        <v>4100</v>
      </c>
      <c r="K306" s="27">
        <f>G306*H306*(1-I306)</f>
        <v/>
      </c>
      <c r="L306" s="27">
        <f>K306-G306*J306</f>
        <v/>
      </c>
    </row>
    <row r="307">
      <c r="A307" s="25" t="inlineStr">
        <is>
          <t>ORD-10890</t>
        </is>
      </c>
      <c r="B307" s="26" t="n">
        <v>45761</v>
      </c>
      <c r="C307" s="25">
        <f>MONTH(B307)</f>
        <v/>
      </c>
      <c r="D307" s="25" t="inlineStr">
        <is>
          <t>North</t>
        </is>
      </c>
      <c r="E307" s="25" t="inlineStr">
        <is>
          <t>Accessories</t>
        </is>
      </c>
      <c r="F307" s="25" t="inlineStr">
        <is>
          <t>USB-C Hub</t>
        </is>
      </c>
      <c r="G307" s="25" t="n">
        <v>2</v>
      </c>
      <c r="H307" s="27" t="n">
        <v>1800</v>
      </c>
      <c r="I307" s="28" t="n">
        <v>0.15</v>
      </c>
      <c r="J307" s="27" t="n">
        <v>980</v>
      </c>
      <c r="K307" s="27">
        <f>G307*H307*(1-I307)</f>
        <v/>
      </c>
      <c r="L307" s="27">
        <f>K307-G307*J307</f>
        <v/>
      </c>
    </row>
    <row r="308">
      <c r="A308" s="25" t="inlineStr">
        <is>
          <t>ORD-11047</t>
        </is>
      </c>
      <c r="B308" s="26" t="n">
        <v>45761</v>
      </c>
      <c r="C308" s="25">
        <f>MONTH(B308)</f>
        <v/>
      </c>
      <c r="D308" s="25" t="inlineStr">
        <is>
          <t>West</t>
        </is>
      </c>
      <c r="E308" s="25" t="inlineStr">
        <is>
          <t>Office Supplies</t>
        </is>
      </c>
      <c r="F308" s="25" t="inlineStr">
        <is>
          <t>Notebook Set</t>
        </is>
      </c>
      <c r="G308" s="25" t="n">
        <v>1</v>
      </c>
      <c r="H308" s="27" t="n">
        <v>450</v>
      </c>
      <c r="I308" s="28" t="n">
        <v>0</v>
      </c>
      <c r="J308" s="27" t="n">
        <v>190</v>
      </c>
      <c r="K308" s="27">
        <f>G308*H308*(1-I308)</f>
        <v/>
      </c>
      <c r="L308" s="27">
        <f>K308-G308*J308</f>
        <v/>
      </c>
    </row>
    <row r="309">
      <c r="A309" s="25" t="inlineStr">
        <is>
          <t>ORD-10428</t>
        </is>
      </c>
      <c r="B309" s="26" t="n">
        <v>45762</v>
      </c>
      <c r="C309" s="25">
        <f>MONTH(B309)</f>
        <v/>
      </c>
      <c r="D309" s="25" t="inlineStr">
        <is>
          <t>North</t>
        </is>
      </c>
      <c r="E309" s="25" t="inlineStr">
        <is>
          <t>Technology</t>
        </is>
      </c>
      <c r="F309" s="25" t="inlineStr">
        <is>
          <t>Wireless Mouse</t>
        </is>
      </c>
      <c r="G309" s="25" t="n">
        <v>1</v>
      </c>
      <c r="H309" s="27" t="n">
        <v>1200</v>
      </c>
      <c r="I309" s="28" t="n">
        <v>0.05</v>
      </c>
      <c r="J309" s="27" t="n">
        <v>650</v>
      </c>
      <c r="K309" s="27">
        <f>G309*H309*(1-I309)</f>
        <v/>
      </c>
      <c r="L309" s="27">
        <f>K309-G309*J309</f>
        <v/>
      </c>
    </row>
    <row r="310">
      <c r="A310" s="25" t="inlineStr">
        <is>
          <t>ORD-10548</t>
        </is>
      </c>
      <c r="B310" s="26" t="n">
        <v>45762</v>
      </c>
      <c r="C310" s="25">
        <f>MONTH(B310)</f>
        <v/>
      </c>
      <c r="D310" s="25" t="inlineStr">
        <is>
          <t>West</t>
        </is>
      </c>
      <c r="E310" s="25" t="inlineStr">
        <is>
          <t>Technology</t>
        </is>
      </c>
      <c r="F310" s="25" t="inlineStr">
        <is>
          <t>Wireless Mouse</t>
        </is>
      </c>
      <c r="G310" s="25" t="n">
        <v>3</v>
      </c>
      <c r="H310" s="27" t="n">
        <v>1200</v>
      </c>
      <c r="I310" s="28" t="n">
        <v>0</v>
      </c>
      <c r="J310" s="27" t="n">
        <v>650</v>
      </c>
      <c r="K310" s="27">
        <f>G310*H310*(1-I310)</f>
        <v/>
      </c>
      <c r="L310" s="27">
        <f>K310-G310*J310</f>
        <v/>
      </c>
    </row>
    <row r="311">
      <c r="A311" s="25" t="inlineStr">
        <is>
          <t>ORD-10706</t>
        </is>
      </c>
      <c r="B311" s="26" t="n">
        <v>45762</v>
      </c>
      <c r="C311" s="25">
        <f>MONTH(B311)</f>
        <v/>
      </c>
      <c r="D311" s="25" t="inlineStr">
        <is>
          <t>East</t>
        </is>
      </c>
      <c r="E311" s="25" t="inlineStr">
        <is>
          <t>Furniture</t>
        </is>
      </c>
      <c r="F311" s="25" t="inlineStr">
        <is>
          <t>Bookshelf</t>
        </is>
      </c>
      <c r="G311" s="25" t="n">
        <v>1</v>
      </c>
      <c r="H311" s="27" t="n">
        <v>6200</v>
      </c>
      <c r="I311" s="28" t="n">
        <v>0.05</v>
      </c>
      <c r="J311" s="27" t="n">
        <v>4100</v>
      </c>
      <c r="K311" s="27">
        <f>G311*H311*(1-I311)</f>
        <v/>
      </c>
      <c r="L311" s="27">
        <f>K311-G311*J311</f>
        <v/>
      </c>
    </row>
    <row r="312">
      <c r="A312" s="25" t="inlineStr">
        <is>
          <t>ORD-10760</t>
        </is>
      </c>
      <c r="B312" s="26" t="n">
        <v>45762</v>
      </c>
      <c r="C312" s="25">
        <f>MONTH(B312)</f>
        <v/>
      </c>
      <c r="D312" s="25" t="inlineStr">
        <is>
          <t>East</t>
        </is>
      </c>
      <c r="E312" s="25" t="inlineStr">
        <is>
          <t>Accessories</t>
        </is>
      </c>
      <c r="F312" s="25" t="inlineStr">
        <is>
          <t>Headphones</t>
        </is>
      </c>
      <c r="G312" s="25" t="n">
        <v>1</v>
      </c>
      <c r="H312" s="27" t="n">
        <v>4500</v>
      </c>
      <c r="I312" s="28" t="n">
        <v>0</v>
      </c>
      <c r="J312" s="27" t="n">
        <v>2600</v>
      </c>
      <c r="K312" s="27">
        <f>G312*H312*(1-I312)</f>
        <v/>
      </c>
      <c r="L312" s="27">
        <f>K312-G312*J312</f>
        <v/>
      </c>
    </row>
    <row r="313">
      <c r="A313" s="25" t="inlineStr">
        <is>
          <t>ORD-11037</t>
        </is>
      </c>
      <c r="B313" s="26" t="n">
        <v>45762</v>
      </c>
      <c r="C313" s="25">
        <f>MONTH(B313)</f>
        <v/>
      </c>
      <c r="D313" s="25" t="inlineStr">
        <is>
          <t>West</t>
        </is>
      </c>
      <c r="E313" s="25" t="inlineStr">
        <is>
          <t>Accessories</t>
        </is>
      </c>
      <c r="F313" s="25" t="inlineStr">
        <is>
          <t>Webcam</t>
        </is>
      </c>
      <c r="G313" s="25" t="n">
        <v>2</v>
      </c>
      <c r="H313" s="27" t="n">
        <v>3200</v>
      </c>
      <c r="I313" s="28" t="n">
        <v>0.1</v>
      </c>
      <c r="J313" s="27" t="n">
        <v>1900</v>
      </c>
      <c r="K313" s="27">
        <f>G313*H313*(1-I313)</f>
        <v/>
      </c>
      <c r="L313" s="27">
        <f>K313-G313*J313</f>
        <v/>
      </c>
    </row>
    <row r="314">
      <c r="A314" s="25" t="inlineStr">
        <is>
          <t>ORD-10720</t>
        </is>
      </c>
      <c r="B314" s="26" t="n">
        <v>45763</v>
      </c>
      <c r="C314" s="25">
        <f>MONTH(B314)</f>
        <v/>
      </c>
      <c r="D314" s="25" t="inlineStr">
        <is>
          <t>South</t>
        </is>
      </c>
      <c r="E314" s="25" t="inlineStr">
        <is>
          <t>Office Supplies</t>
        </is>
      </c>
      <c r="F314" s="25" t="inlineStr">
        <is>
          <t>Desk Organizer</t>
        </is>
      </c>
      <c r="G314" s="25" t="n">
        <v>4</v>
      </c>
      <c r="H314" s="27" t="n">
        <v>850</v>
      </c>
      <c r="I314" s="28" t="n">
        <v>0.2</v>
      </c>
      <c r="J314" s="27" t="n">
        <v>420</v>
      </c>
      <c r="K314" s="27">
        <f>G314*H314*(1-I314)</f>
        <v/>
      </c>
      <c r="L314" s="27">
        <f>K314-G314*J314</f>
        <v/>
      </c>
    </row>
    <row r="315">
      <c r="A315" s="25" t="inlineStr">
        <is>
          <t>ORD-11001</t>
        </is>
      </c>
      <c r="B315" s="26" t="n">
        <v>45763</v>
      </c>
      <c r="C315" s="25">
        <f>MONTH(B315)</f>
        <v/>
      </c>
      <c r="D315" s="25" t="inlineStr">
        <is>
          <t>South</t>
        </is>
      </c>
      <c r="E315" s="25" t="inlineStr">
        <is>
          <t>Technology</t>
        </is>
      </c>
      <c r="F315" s="25" t="inlineStr">
        <is>
          <t>Wireless Mouse</t>
        </is>
      </c>
      <c r="G315" s="25" t="n">
        <v>2</v>
      </c>
      <c r="H315" s="27" t="n">
        <v>1200</v>
      </c>
      <c r="I315" s="28" t="n">
        <v>0.2</v>
      </c>
      <c r="J315" s="27" t="n">
        <v>650</v>
      </c>
      <c r="K315" s="27">
        <f>G315*H315*(1-I315)</f>
        <v/>
      </c>
      <c r="L315" s="27">
        <f>K315-G315*J315</f>
        <v/>
      </c>
    </row>
    <row r="316">
      <c r="A316" s="25" t="inlineStr">
        <is>
          <t>ORD-10560</t>
        </is>
      </c>
      <c r="B316" s="26" t="n">
        <v>45764</v>
      </c>
      <c r="C316" s="25">
        <f>MONTH(B316)</f>
        <v/>
      </c>
      <c r="D316" s="25" t="inlineStr">
        <is>
          <t>East</t>
        </is>
      </c>
      <c r="E316" s="25" t="inlineStr">
        <is>
          <t>Furniture</t>
        </is>
      </c>
      <c r="F316" s="25" t="inlineStr">
        <is>
          <t>Bookshelf</t>
        </is>
      </c>
      <c r="G316" s="25" t="n">
        <v>3</v>
      </c>
      <c r="H316" s="27" t="n">
        <v>6200</v>
      </c>
      <c r="I316" s="28" t="n">
        <v>0.05</v>
      </c>
      <c r="J316" s="27" t="n">
        <v>4100</v>
      </c>
      <c r="K316" s="27">
        <f>G316*H316*(1-I316)</f>
        <v/>
      </c>
      <c r="L316" s="27">
        <f>K316-G316*J316</f>
        <v/>
      </c>
    </row>
    <row r="317">
      <c r="A317" s="25" t="inlineStr">
        <is>
          <t>ORD-10629</t>
        </is>
      </c>
      <c r="B317" s="26" t="n">
        <v>45764</v>
      </c>
      <c r="C317" s="25">
        <f>MONTH(B317)</f>
        <v/>
      </c>
      <c r="D317" s="25" t="inlineStr">
        <is>
          <t>North</t>
        </is>
      </c>
      <c r="E317" s="25" t="inlineStr">
        <is>
          <t>Office Supplies</t>
        </is>
      </c>
      <c r="F317" s="25" t="inlineStr">
        <is>
          <t>Notebook Set</t>
        </is>
      </c>
      <c r="G317" s="25" t="n">
        <v>5</v>
      </c>
      <c r="H317" s="27" t="n">
        <v>450</v>
      </c>
      <c r="I317" s="28" t="n">
        <v>0.05</v>
      </c>
      <c r="J317" s="27" t="n">
        <v>190</v>
      </c>
      <c r="K317" s="27">
        <f>G317*H317*(1-I317)</f>
        <v/>
      </c>
      <c r="L317" s="27">
        <f>K317-G317*J317</f>
        <v/>
      </c>
    </row>
    <row r="318">
      <c r="A318" s="25" t="inlineStr">
        <is>
          <t>ORD-10093</t>
        </is>
      </c>
      <c r="B318" s="26" t="n">
        <v>45765</v>
      </c>
      <c r="C318" s="25">
        <f>MONTH(B318)</f>
        <v/>
      </c>
      <c r="D318" s="25" t="inlineStr">
        <is>
          <t>West</t>
        </is>
      </c>
      <c r="E318" s="25" t="inlineStr">
        <is>
          <t>Office Supplies</t>
        </is>
      </c>
      <c r="F318" s="25" t="inlineStr">
        <is>
          <t>Printer Paper Box</t>
        </is>
      </c>
      <c r="G318" s="25" t="n">
        <v>4</v>
      </c>
      <c r="H318" s="27" t="n">
        <v>1600</v>
      </c>
      <c r="I318" s="28" t="n">
        <v>0</v>
      </c>
      <c r="J318" s="27" t="n">
        <v>1050</v>
      </c>
      <c r="K318" s="27">
        <f>G318*H318*(1-I318)</f>
        <v/>
      </c>
      <c r="L318" s="27">
        <f>K318-G318*J318</f>
        <v/>
      </c>
    </row>
    <row r="319">
      <c r="A319" s="25" t="inlineStr">
        <is>
          <t>ORD-10373</t>
        </is>
      </c>
      <c r="B319" s="26" t="n">
        <v>45766</v>
      </c>
      <c r="C319" s="25">
        <f>MONTH(B319)</f>
        <v/>
      </c>
      <c r="D319" s="25" t="inlineStr">
        <is>
          <t>South</t>
        </is>
      </c>
      <c r="E319" s="25" t="inlineStr">
        <is>
          <t>Accessories</t>
        </is>
      </c>
      <c r="F319" s="25" t="inlineStr">
        <is>
          <t>Webcam</t>
        </is>
      </c>
      <c r="G319" s="25" t="n">
        <v>3</v>
      </c>
      <c r="H319" s="27" t="n">
        <v>3200</v>
      </c>
      <c r="I319" s="28" t="n">
        <v>0</v>
      </c>
      <c r="J319" s="27" t="n">
        <v>1900</v>
      </c>
      <c r="K319" s="27">
        <f>G319*H319*(1-I319)</f>
        <v/>
      </c>
      <c r="L319" s="27">
        <f>K319-G319*J319</f>
        <v/>
      </c>
    </row>
    <row r="320">
      <c r="A320" s="25" t="inlineStr">
        <is>
          <t>ORD-10355</t>
        </is>
      </c>
      <c r="B320" s="26" t="n">
        <v>45767</v>
      </c>
      <c r="C320" s="25">
        <f>MONTH(B320)</f>
        <v/>
      </c>
      <c r="D320" s="25" t="inlineStr">
        <is>
          <t>North</t>
        </is>
      </c>
      <c r="E320" s="25" t="inlineStr">
        <is>
          <t>Office Supplies</t>
        </is>
      </c>
      <c r="F320" s="25" t="inlineStr">
        <is>
          <t>Desk Organizer</t>
        </is>
      </c>
      <c r="G320" s="25" t="n">
        <v>4</v>
      </c>
      <c r="H320" s="27" t="n">
        <v>850</v>
      </c>
      <c r="I320" s="28" t="n">
        <v>0.1</v>
      </c>
      <c r="J320" s="27" t="n">
        <v>420</v>
      </c>
      <c r="K320" s="27">
        <f>G320*H320*(1-I320)</f>
        <v/>
      </c>
      <c r="L320" s="27">
        <f>K320-G320*J320</f>
        <v/>
      </c>
    </row>
    <row r="321">
      <c r="A321" s="25" t="inlineStr">
        <is>
          <t>ORD-10495</t>
        </is>
      </c>
      <c r="B321" s="26" t="n">
        <v>45767</v>
      </c>
      <c r="C321" s="25">
        <f>MONTH(B321)</f>
        <v/>
      </c>
      <c r="D321" s="25" t="inlineStr">
        <is>
          <t>South</t>
        </is>
      </c>
      <c r="E321" s="25" t="inlineStr">
        <is>
          <t>Accessories</t>
        </is>
      </c>
      <c r="F321" s="25" t="inlineStr">
        <is>
          <t>USB-C Hub</t>
        </is>
      </c>
      <c r="G321" s="25" t="n">
        <v>4</v>
      </c>
      <c r="H321" s="27" t="n">
        <v>1800</v>
      </c>
      <c r="I321" s="28" t="n">
        <v>0.05</v>
      </c>
      <c r="J321" s="27" t="n">
        <v>980</v>
      </c>
      <c r="K321" s="27">
        <f>G321*H321*(1-I321)</f>
        <v/>
      </c>
      <c r="L321" s="27">
        <f>K321-G321*J321</f>
        <v/>
      </c>
    </row>
    <row r="322">
      <c r="A322" s="25" t="inlineStr">
        <is>
          <t>ORD-10473</t>
        </is>
      </c>
      <c r="B322" s="26" t="n">
        <v>45768</v>
      </c>
      <c r="C322" s="25">
        <f>MONTH(B322)</f>
        <v/>
      </c>
      <c r="D322" s="25" t="inlineStr">
        <is>
          <t>East</t>
        </is>
      </c>
      <c r="E322" s="25" t="inlineStr">
        <is>
          <t>Furniture</t>
        </is>
      </c>
      <c r="F322" s="25" t="inlineStr">
        <is>
          <t>Office Chair</t>
        </is>
      </c>
      <c r="G322" s="25" t="n">
        <v>2</v>
      </c>
      <c r="H322" s="27" t="n">
        <v>8500</v>
      </c>
      <c r="I322" s="28" t="n">
        <v>0</v>
      </c>
      <c r="J322" s="27" t="n">
        <v>5600</v>
      </c>
      <c r="K322" s="27">
        <f>G322*H322*(1-I322)</f>
        <v/>
      </c>
      <c r="L322" s="27">
        <f>K322-G322*J322</f>
        <v/>
      </c>
    </row>
    <row r="323">
      <c r="A323" s="25" t="inlineStr">
        <is>
          <t>ORD-10814</t>
        </is>
      </c>
      <c r="B323" s="26" t="n">
        <v>45768</v>
      </c>
      <c r="C323" s="25">
        <f>MONTH(B323)</f>
        <v/>
      </c>
      <c r="D323" s="25" t="inlineStr">
        <is>
          <t>North</t>
        </is>
      </c>
      <c r="E323" s="25" t="inlineStr">
        <is>
          <t>Office Supplies</t>
        </is>
      </c>
      <c r="F323" s="25" t="inlineStr">
        <is>
          <t>Notebook Set</t>
        </is>
      </c>
      <c r="G323" s="25" t="n">
        <v>1</v>
      </c>
      <c r="H323" s="27" t="n">
        <v>450</v>
      </c>
      <c r="I323" s="28" t="n">
        <v>0.1</v>
      </c>
      <c r="J323" s="27" t="n">
        <v>190</v>
      </c>
      <c r="K323" s="27">
        <f>G323*H323*(1-I323)</f>
        <v/>
      </c>
      <c r="L323" s="27">
        <f>K323-G323*J323</f>
        <v/>
      </c>
    </row>
    <row r="324">
      <c r="A324" s="25" t="inlineStr">
        <is>
          <t>ORD-11015</t>
        </is>
      </c>
      <c r="B324" s="26" t="n">
        <v>45768</v>
      </c>
      <c r="C324" s="25">
        <f>MONTH(B324)</f>
        <v/>
      </c>
      <c r="D324" s="25" t="inlineStr">
        <is>
          <t>North</t>
        </is>
      </c>
      <c r="E324" s="25" t="inlineStr">
        <is>
          <t>Office Supplies</t>
        </is>
      </c>
      <c r="F324" s="25" t="inlineStr">
        <is>
          <t>Printer Paper Box</t>
        </is>
      </c>
      <c r="G324" s="25" t="n">
        <v>2</v>
      </c>
      <c r="H324" s="27" t="n">
        <v>1600</v>
      </c>
      <c r="I324" s="28" t="n">
        <v>0</v>
      </c>
      <c r="J324" s="27" t="n">
        <v>1050</v>
      </c>
      <c r="K324" s="27">
        <f>G324*H324*(1-I324)</f>
        <v/>
      </c>
      <c r="L324" s="27">
        <f>K324-G324*J324</f>
        <v/>
      </c>
    </row>
    <row r="325">
      <c r="A325" s="25" t="inlineStr">
        <is>
          <t>ORD-10118</t>
        </is>
      </c>
      <c r="B325" s="26" t="n">
        <v>45769</v>
      </c>
      <c r="C325" s="25">
        <f>MONTH(B325)</f>
        <v/>
      </c>
      <c r="D325" s="25" t="inlineStr">
        <is>
          <t>North</t>
        </is>
      </c>
      <c r="E325" s="25" t="inlineStr">
        <is>
          <t>Office Supplies</t>
        </is>
      </c>
      <c r="F325" s="25" t="inlineStr">
        <is>
          <t>Desk Organizer</t>
        </is>
      </c>
      <c r="G325" s="25" t="n">
        <v>5</v>
      </c>
      <c r="H325" s="27" t="n">
        <v>850</v>
      </c>
      <c r="I325" s="28" t="n">
        <v>0.1</v>
      </c>
      <c r="J325" s="27" t="n">
        <v>420</v>
      </c>
      <c r="K325" s="27">
        <f>G325*H325*(1-I325)</f>
        <v/>
      </c>
      <c r="L325" s="27">
        <f>K325-G325*J325</f>
        <v/>
      </c>
    </row>
    <row r="326">
      <c r="A326" s="25" t="inlineStr">
        <is>
          <t>ORD-10534</t>
        </is>
      </c>
      <c r="B326" s="26" t="n">
        <v>45769</v>
      </c>
      <c r="C326" s="25">
        <f>MONTH(B326)</f>
        <v/>
      </c>
      <c r="D326" s="25" t="inlineStr">
        <is>
          <t>East</t>
        </is>
      </c>
      <c r="E326" s="25" t="inlineStr">
        <is>
          <t>Furniture</t>
        </is>
      </c>
      <c r="F326" s="25" t="inlineStr">
        <is>
          <t>Bookshelf</t>
        </is>
      </c>
      <c r="G326" s="25" t="n">
        <v>3</v>
      </c>
      <c r="H326" s="27" t="n">
        <v>6200</v>
      </c>
      <c r="I326" s="28" t="n">
        <v>0</v>
      </c>
      <c r="J326" s="27" t="n">
        <v>4100</v>
      </c>
      <c r="K326" s="27">
        <f>G326*H326*(1-I326)</f>
        <v/>
      </c>
      <c r="L326" s="27">
        <f>K326-G326*J326</f>
        <v/>
      </c>
    </row>
    <row r="327">
      <c r="A327" s="25" t="inlineStr">
        <is>
          <t>ORD-10791</t>
        </is>
      </c>
      <c r="B327" s="26" t="n">
        <v>45769</v>
      </c>
      <c r="C327" s="25">
        <f>MONTH(B327)</f>
        <v/>
      </c>
      <c r="D327" s="25" t="inlineStr">
        <is>
          <t>North</t>
        </is>
      </c>
      <c r="E327" s="25" t="inlineStr">
        <is>
          <t>Technology</t>
        </is>
      </c>
      <c r="F327" s="25" t="inlineStr">
        <is>
          <t>Monitor 24"</t>
        </is>
      </c>
      <c r="G327" s="25" t="n">
        <v>1</v>
      </c>
      <c r="H327" s="27" t="n">
        <v>11500</v>
      </c>
      <c r="I327" s="28" t="n">
        <v>0</v>
      </c>
      <c r="J327" s="27" t="n">
        <v>8200</v>
      </c>
      <c r="K327" s="27">
        <f>G327*H327*(1-I327)</f>
        <v/>
      </c>
      <c r="L327" s="27">
        <f>K327-G327*J327</f>
        <v/>
      </c>
    </row>
    <row r="328">
      <c r="A328" s="25" t="inlineStr">
        <is>
          <t>ORD-10334</t>
        </is>
      </c>
      <c r="B328" s="26" t="n">
        <v>45770</v>
      </c>
      <c r="C328" s="25">
        <f>MONTH(B328)</f>
        <v/>
      </c>
      <c r="D328" s="25" t="inlineStr">
        <is>
          <t>South</t>
        </is>
      </c>
      <c r="E328" s="25" t="inlineStr">
        <is>
          <t>Technology</t>
        </is>
      </c>
      <c r="F328" s="25" t="inlineStr">
        <is>
          <t>Wireless Mouse</t>
        </is>
      </c>
      <c r="G328" s="25" t="n">
        <v>3</v>
      </c>
      <c r="H328" s="27" t="n">
        <v>1200</v>
      </c>
      <c r="I328" s="28" t="n">
        <v>0.1</v>
      </c>
      <c r="J328" s="27" t="n">
        <v>650</v>
      </c>
      <c r="K328" s="27">
        <f>G328*H328*(1-I328)</f>
        <v/>
      </c>
      <c r="L328" s="27">
        <f>K328-G328*J328</f>
        <v/>
      </c>
    </row>
    <row r="329">
      <c r="A329" s="25" t="inlineStr">
        <is>
          <t>ORD-10517</t>
        </is>
      </c>
      <c r="B329" s="26" t="n">
        <v>45770</v>
      </c>
      <c r="C329" s="25">
        <f>MONTH(B329)</f>
        <v/>
      </c>
      <c r="D329" s="25" t="inlineStr">
        <is>
          <t>South</t>
        </is>
      </c>
      <c r="E329" s="25" t="inlineStr">
        <is>
          <t>Furniture</t>
        </is>
      </c>
      <c r="F329" s="25" t="inlineStr">
        <is>
          <t>Bookshelf</t>
        </is>
      </c>
      <c r="G329" s="25" t="n">
        <v>1</v>
      </c>
      <c r="H329" s="27" t="n">
        <v>6200</v>
      </c>
      <c r="I329" s="28" t="n">
        <v>0.15</v>
      </c>
      <c r="J329" s="27" t="n">
        <v>4100</v>
      </c>
      <c r="K329" s="27">
        <f>G329*H329*(1-I329)</f>
        <v/>
      </c>
      <c r="L329" s="27">
        <f>K329-G329*J329</f>
        <v/>
      </c>
    </row>
    <row r="330">
      <c r="A330" s="25" t="inlineStr">
        <is>
          <t>ORD-10746</t>
        </is>
      </c>
      <c r="B330" s="26" t="n">
        <v>45770</v>
      </c>
      <c r="C330" s="25">
        <f>MONTH(B330)</f>
        <v/>
      </c>
      <c r="D330" s="25" t="inlineStr">
        <is>
          <t>West</t>
        </is>
      </c>
      <c r="E330" s="25" t="inlineStr">
        <is>
          <t>Technology</t>
        </is>
      </c>
      <c r="F330" s="25" t="inlineStr">
        <is>
          <t>Monitor 24"</t>
        </is>
      </c>
      <c r="G330" s="25" t="n">
        <v>2</v>
      </c>
      <c r="H330" s="27" t="n">
        <v>11500</v>
      </c>
      <c r="I330" s="28" t="n">
        <v>0</v>
      </c>
      <c r="J330" s="27" t="n">
        <v>8200</v>
      </c>
      <c r="K330" s="27">
        <f>G330*H330*(1-I330)</f>
        <v/>
      </c>
      <c r="L330" s="27">
        <f>K330-G330*J330</f>
        <v/>
      </c>
    </row>
    <row r="331">
      <c r="A331" s="25" t="inlineStr">
        <is>
          <t>ORD-10758</t>
        </is>
      </c>
      <c r="B331" s="26" t="n">
        <v>45770</v>
      </c>
      <c r="C331" s="25">
        <f>MONTH(B331)</f>
        <v/>
      </c>
      <c r="D331" s="25" t="inlineStr">
        <is>
          <t>North</t>
        </is>
      </c>
      <c r="E331" s="25" t="inlineStr">
        <is>
          <t>Furniture</t>
        </is>
      </c>
      <c r="F331" s="25" t="inlineStr">
        <is>
          <t>Office Chair</t>
        </is>
      </c>
      <c r="G331" s="25" t="n">
        <v>1</v>
      </c>
      <c r="H331" s="27" t="n">
        <v>8500</v>
      </c>
      <c r="I331" s="28" t="n">
        <v>0</v>
      </c>
      <c r="J331" s="27" t="n">
        <v>5600</v>
      </c>
      <c r="K331" s="27">
        <f>G331*H331*(1-I331)</f>
        <v/>
      </c>
      <c r="L331" s="27">
        <f>K331-G331*J331</f>
        <v/>
      </c>
    </row>
    <row r="332">
      <c r="A332" s="25" t="inlineStr">
        <is>
          <t>ORD-10989</t>
        </is>
      </c>
      <c r="B332" s="26" t="n">
        <v>45770</v>
      </c>
      <c r="C332" s="25">
        <f>MONTH(B332)</f>
        <v/>
      </c>
      <c r="D332" s="25" t="inlineStr">
        <is>
          <t>West</t>
        </is>
      </c>
      <c r="E332" s="25" t="inlineStr">
        <is>
          <t>Office Supplies</t>
        </is>
      </c>
      <c r="F332" s="25" t="inlineStr">
        <is>
          <t>Notebook Set</t>
        </is>
      </c>
      <c r="G332" s="25" t="n">
        <v>1</v>
      </c>
      <c r="H332" s="27" t="n">
        <v>450</v>
      </c>
      <c r="I332" s="28" t="n">
        <v>0.15</v>
      </c>
      <c r="J332" s="27" t="n">
        <v>190</v>
      </c>
      <c r="K332" s="27">
        <f>G332*H332*(1-I332)</f>
        <v/>
      </c>
      <c r="L332" s="27">
        <f>K332-G332*J332</f>
        <v/>
      </c>
    </row>
    <row r="333">
      <c r="A333" s="25" t="inlineStr">
        <is>
          <t>ORD-10055</t>
        </is>
      </c>
      <c r="B333" s="26" t="n">
        <v>45771</v>
      </c>
      <c r="C333" s="25">
        <f>MONTH(B333)</f>
        <v/>
      </c>
      <c r="D333" s="25" t="inlineStr">
        <is>
          <t>South</t>
        </is>
      </c>
      <c r="E333" s="25" t="inlineStr">
        <is>
          <t>Furniture</t>
        </is>
      </c>
      <c r="F333" s="25" t="inlineStr">
        <is>
          <t>Standing Desk</t>
        </is>
      </c>
      <c r="G333" s="25" t="n">
        <v>2</v>
      </c>
      <c r="H333" s="27" t="n">
        <v>19500</v>
      </c>
      <c r="I333" s="28" t="n">
        <v>0</v>
      </c>
      <c r="J333" s="27" t="n">
        <v>13800</v>
      </c>
      <c r="K333" s="27">
        <f>G333*H333*(1-I333)</f>
        <v/>
      </c>
      <c r="L333" s="27">
        <f>K333-G333*J333</f>
        <v/>
      </c>
    </row>
    <row r="334">
      <c r="A334" s="25" t="inlineStr">
        <is>
          <t>ORD-10272</t>
        </is>
      </c>
      <c r="B334" s="26" t="n">
        <v>45771</v>
      </c>
      <c r="C334" s="25">
        <f>MONTH(B334)</f>
        <v/>
      </c>
      <c r="D334" s="25" t="inlineStr">
        <is>
          <t>West</t>
        </is>
      </c>
      <c r="E334" s="25" t="inlineStr">
        <is>
          <t>Office Supplies</t>
        </is>
      </c>
      <c r="F334" s="25" t="inlineStr">
        <is>
          <t>Desk Organizer</t>
        </is>
      </c>
      <c r="G334" s="25" t="n">
        <v>2</v>
      </c>
      <c r="H334" s="27" t="n">
        <v>850</v>
      </c>
      <c r="I334" s="28" t="n">
        <v>0</v>
      </c>
      <c r="J334" s="27" t="n">
        <v>420</v>
      </c>
      <c r="K334" s="27">
        <f>G334*H334*(1-I334)</f>
        <v/>
      </c>
      <c r="L334" s="27">
        <f>K334-G334*J334</f>
        <v/>
      </c>
    </row>
    <row r="335">
      <c r="A335" s="25" t="inlineStr">
        <is>
          <t>ORD-10382</t>
        </is>
      </c>
      <c r="B335" s="26" t="n">
        <v>45771</v>
      </c>
      <c r="C335" s="25">
        <f>MONTH(B335)</f>
        <v/>
      </c>
      <c r="D335" s="25" t="inlineStr">
        <is>
          <t>South</t>
        </is>
      </c>
      <c r="E335" s="25" t="inlineStr">
        <is>
          <t>Office Supplies</t>
        </is>
      </c>
      <c r="F335" s="25" t="inlineStr">
        <is>
          <t>Desk Organizer</t>
        </is>
      </c>
      <c r="G335" s="25" t="n">
        <v>5</v>
      </c>
      <c r="H335" s="27" t="n">
        <v>850</v>
      </c>
      <c r="I335" s="28" t="n">
        <v>0</v>
      </c>
      <c r="J335" s="27" t="n">
        <v>420</v>
      </c>
      <c r="K335" s="27">
        <f>G335*H335*(1-I335)</f>
        <v/>
      </c>
      <c r="L335" s="27">
        <f>K335-G335*J335</f>
        <v/>
      </c>
    </row>
    <row r="336">
      <c r="A336" s="25" t="inlineStr">
        <is>
          <t>ORD-10557</t>
        </is>
      </c>
      <c r="B336" s="26" t="n">
        <v>45771</v>
      </c>
      <c r="C336" s="25">
        <f>MONTH(B336)</f>
        <v/>
      </c>
      <c r="D336" s="25" t="inlineStr">
        <is>
          <t>East</t>
        </is>
      </c>
      <c r="E336" s="25" t="inlineStr">
        <is>
          <t>Office Supplies</t>
        </is>
      </c>
      <c r="F336" s="25" t="inlineStr">
        <is>
          <t>Notebook Set</t>
        </is>
      </c>
      <c r="G336" s="25" t="n">
        <v>1</v>
      </c>
      <c r="H336" s="27" t="n">
        <v>450</v>
      </c>
      <c r="I336" s="28" t="n">
        <v>0.05</v>
      </c>
      <c r="J336" s="27" t="n">
        <v>190</v>
      </c>
      <c r="K336" s="27">
        <f>G336*H336*(1-I336)</f>
        <v/>
      </c>
      <c r="L336" s="27">
        <f>K336-G336*J336</f>
        <v/>
      </c>
    </row>
    <row r="337">
      <c r="A337" s="25" t="inlineStr">
        <is>
          <t>ORD-10669</t>
        </is>
      </c>
      <c r="B337" s="26" t="n">
        <v>45771</v>
      </c>
      <c r="C337" s="25">
        <f>MONTH(B337)</f>
        <v/>
      </c>
      <c r="D337" s="25" t="inlineStr">
        <is>
          <t>South</t>
        </is>
      </c>
      <c r="E337" s="25" t="inlineStr">
        <is>
          <t>Office Supplies</t>
        </is>
      </c>
      <c r="F337" s="25" t="inlineStr">
        <is>
          <t>Desk Organizer</t>
        </is>
      </c>
      <c r="G337" s="25" t="n">
        <v>4</v>
      </c>
      <c r="H337" s="27" t="n">
        <v>850</v>
      </c>
      <c r="I337" s="28" t="n">
        <v>0</v>
      </c>
      <c r="J337" s="27" t="n">
        <v>420</v>
      </c>
      <c r="K337" s="27">
        <f>G337*H337*(1-I337)</f>
        <v/>
      </c>
      <c r="L337" s="27">
        <f>K337-G337*J337</f>
        <v/>
      </c>
    </row>
    <row r="338">
      <c r="A338" s="25" t="inlineStr">
        <is>
          <t>ORD-11016</t>
        </is>
      </c>
      <c r="B338" s="26" t="n">
        <v>45771</v>
      </c>
      <c r="C338" s="25">
        <f>MONTH(B338)</f>
        <v/>
      </c>
      <c r="D338" s="25" t="inlineStr">
        <is>
          <t>North</t>
        </is>
      </c>
      <c r="E338" s="25" t="inlineStr">
        <is>
          <t>Office Supplies</t>
        </is>
      </c>
      <c r="F338" s="25" t="inlineStr">
        <is>
          <t>Printer Paper Box</t>
        </is>
      </c>
      <c r="G338" s="25" t="n">
        <v>1</v>
      </c>
      <c r="H338" s="27" t="n">
        <v>1600</v>
      </c>
      <c r="I338" s="28" t="n">
        <v>0</v>
      </c>
      <c r="J338" s="27" t="n">
        <v>1050</v>
      </c>
      <c r="K338" s="27">
        <f>G338*H338*(1-I338)</f>
        <v/>
      </c>
      <c r="L338" s="27">
        <f>K338-G338*J338</f>
        <v/>
      </c>
    </row>
    <row r="339">
      <c r="A339" s="25" t="inlineStr">
        <is>
          <t>ORD-11034</t>
        </is>
      </c>
      <c r="B339" s="26" t="n">
        <v>45771</v>
      </c>
      <c r="C339" s="25">
        <f>MONTH(B339)</f>
        <v/>
      </c>
      <c r="D339" s="25" t="inlineStr">
        <is>
          <t>North</t>
        </is>
      </c>
      <c r="E339" s="25" t="inlineStr">
        <is>
          <t>Technology</t>
        </is>
      </c>
      <c r="F339" s="25" t="inlineStr">
        <is>
          <t>Mechanical Keyboard</t>
        </is>
      </c>
      <c r="G339" s="25" t="n">
        <v>3</v>
      </c>
      <c r="H339" s="27" t="n">
        <v>4200</v>
      </c>
      <c r="I339" s="28" t="n">
        <v>0</v>
      </c>
      <c r="J339" s="27" t="n">
        <v>2500</v>
      </c>
      <c r="K339" s="27">
        <f>G339*H339*(1-I339)</f>
        <v/>
      </c>
      <c r="L339" s="27">
        <f>K339-G339*J339</f>
        <v/>
      </c>
    </row>
    <row r="340">
      <c r="A340" s="25" t="inlineStr">
        <is>
          <t>ORD-10365</t>
        </is>
      </c>
      <c r="B340" s="26" t="n">
        <v>45772</v>
      </c>
      <c r="C340" s="25">
        <f>MONTH(B340)</f>
        <v/>
      </c>
      <c r="D340" s="25" t="inlineStr">
        <is>
          <t>East</t>
        </is>
      </c>
      <c r="E340" s="25" t="inlineStr">
        <is>
          <t>Technology</t>
        </is>
      </c>
      <c r="F340" s="25" t="inlineStr">
        <is>
          <t>Wireless Mouse</t>
        </is>
      </c>
      <c r="G340" s="25" t="n">
        <v>5</v>
      </c>
      <c r="H340" s="27" t="n">
        <v>1200</v>
      </c>
      <c r="I340" s="28" t="n">
        <v>0.2</v>
      </c>
      <c r="J340" s="27" t="n">
        <v>650</v>
      </c>
      <c r="K340" s="27">
        <f>G340*H340*(1-I340)</f>
        <v/>
      </c>
      <c r="L340" s="27">
        <f>K340-G340*J340</f>
        <v/>
      </c>
    </row>
    <row r="341">
      <c r="A341" s="25" t="inlineStr">
        <is>
          <t>ORD-10392</t>
        </is>
      </c>
      <c r="B341" s="26" t="n">
        <v>45772</v>
      </c>
      <c r="C341" s="25">
        <f>MONTH(B341)</f>
        <v/>
      </c>
      <c r="D341" s="25" t="inlineStr">
        <is>
          <t>North</t>
        </is>
      </c>
      <c r="E341" s="25" t="inlineStr">
        <is>
          <t>Technology</t>
        </is>
      </c>
      <c r="F341" s="25" t="inlineStr">
        <is>
          <t>Monitor 24"</t>
        </is>
      </c>
      <c r="G341" s="25" t="n">
        <v>1</v>
      </c>
      <c r="H341" s="27" t="n">
        <v>11500</v>
      </c>
      <c r="I341" s="28" t="n">
        <v>0.15</v>
      </c>
      <c r="J341" s="27" t="n">
        <v>8200</v>
      </c>
      <c r="K341" s="27">
        <f>G341*H341*(1-I341)</f>
        <v/>
      </c>
      <c r="L341" s="27">
        <f>K341-G341*J341</f>
        <v/>
      </c>
    </row>
    <row r="342">
      <c r="A342" s="25" t="inlineStr">
        <is>
          <t>ORD-10540</t>
        </is>
      </c>
      <c r="B342" s="26" t="n">
        <v>45772</v>
      </c>
      <c r="C342" s="25">
        <f>MONTH(B342)</f>
        <v/>
      </c>
      <c r="D342" s="25" t="inlineStr">
        <is>
          <t>South</t>
        </is>
      </c>
      <c r="E342" s="25" t="inlineStr">
        <is>
          <t>Accessories</t>
        </is>
      </c>
      <c r="F342" s="25" t="inlineStr">
        <is>
          <t>Headphones</t>
        </is>
      </c>
      <c r="G342" s="25" t="n">
        <v>1</v>
      </c>
      <c r="H342" s="27" t="n">
        <v>4500</v>
      </c>
      <c r="I342" s="28" t="n">
        <v>0</v>
      </c>
      <c r="J342" s="27" t="n">
        <v>2600</v>
      </c>
      <c r="K342" s="27">
        <f>G342*H342*(1-I342)</f>
        <v/>
      </c>
      <c r="L342" s="27">
        <f>K342-G342*J342</f>
        <v/>
      </c>
    </row>
    <row r="343">
      <c r="A343" s="25" t="inlineStr">
        <is>
          <t>ORD-11039</t>
        </is>
      </c>
      <c r="B343" s="26" t="n">
        <v>45772</v>
      </c>
      <c r="C343" s="25">
        <f>MONTH(B343)</f>
        <v/>
      </c>
      <c r="D343" s="25" t="inlineStr">
        <is>
          <t>East</t>
        </is>
      </c>
      <c r="E343" s="25" t="inlineStr">
        <is>
          <t>Office Supplies</t>
        </is>
      </c>
      <c r="F343" s="25" t="inlineStr">
        <is>
          <t>Notebook Set</t>
        </is>
      </c>
      <c r="G343" s="25" t="n">
        <v>8</v>
      </c>
      <c r="H343" s="27" t="n">
        <v>450</v>
      </c>
      <c r="I343" s="28" t="n">
        <v>0.1</v>
      </c>
      <c r="J343" s="27" t="n">
        <v>190</v>
      </c>
      <c r="K343" s="27">
        <f>G343*H343*(1-I343)</f>
        <v/>
      </c>
      <c r="L343" s="27">
        <f>K343-G343*J343</f>
        <v/>
      </c>
    </row>
    <row r="344">
      <c r="A344" s="25" t="inlineStr">
        <is>
          <t>ORD-10427</t>
        </is>
      </c>
      <c r="B344" s="26" t="n">
        <v>45773</v>
      </c>
      <c r="C344" s="25">
        <f>MONTH(B344)</f>
        <v/>
      </c>
      <c r="D344" s="25" t="inlineStr">
        <is>
          <t>East</t>
        </is>
      </c>
      <c r="E344" s="25" t="inlineStr">
        <is>
          <t>Accessories</t>
        </is>
      </c>
      <c r="F344" s="25" t="inlineStr">
        <is>
          <t>Webcam</t>
        </is>
      </c>
      <c r="G344" s="25" t="n">
        <v>1</v>
      </c>
      <c r="H344" s="27" t="n">
        <v>3200</v>
      </c>
      <c r="I344" s="28" t="n">
        <v>0</v>
      </c>
      <c r="J344" s="27" t="n">
        <v>1900</v>
      </c>
      <c r="K344" s="27">
        <f>G344*H344*(1-I344)</f>
        <v/>
      </c>
      <c r="L344" s="27">
        <f>K344-G344*J344</f>
        <v/>
      </c>
    </row>
    <row r="345">
      <c r="A345" s="25" t="inlineStr">
        <is>
          <t>ORD-11166</t>
        </is>
      </c>
      <c r="B345" s="26" t="n">
        <v>45773</v>
      </c>
      <c r="C345" s="25">
        <f>MONTH(B345)</f>
        <v/>
      </c>
      <c r="D345" s="25" t="inlineStr">
        <is>
          <t>North</t>
        </is>
      </c>
      <c r="E345" s="25" t="inlineStr">
        <is>
          <t>Furniture</t>
        </is>
      </c>
      <c r="F345" s="25" t="inlineStr">
        <is>
          <t>Standing Desk</t>
        </is>
      </c>
      <c r="G345" s="25" t="n">
        <v>1</v>
      </c>
      <c r="H345" s="27" t="n">
        <v>19500</v>
      </c>
      <c r="I345" s="28" t="n">
        <v>0.05</v>
      </c>
      <c r="J345" s="27" t="n">
        <v>13800</v>
      </c>
      <c r="K345" s="27">
        <f>G345*H345*(1-I345)</f>
        <v/>
      </c>
      <c r="L345" s="27">
        <f>K345-G345*J345</f>
        <v/>
      </c>
    </row>
    <row r="346">
      <c r="A346" s="25" t="inlineStr">
        <is>
          <t>ORD-10185</t>
        </is>
      </c>
      <c r="B346" s="26" t="n">
        <v>45774</v>
      </c>
      <c r="C346" s="25">
        <f>MONTH(B346)</f>
        <v/>
      </c>
      <c r="D346" s="25" t="inlineStr">
        <is>
          <t>North</t>
        </is>
      </c>
      <c r="E346" s="25" t="inlineStr">
        <is>
          <t>Furniture</t>
        </is>
      </c>
      <c r="F346" s="25" t="inlineStr">
        <is>
          <t>Standing Desk</t>
        </is>
      </c>
      <c r="G346" s="25" t="n">
        <v>1</v>
      </c>
      <c r="H346" s="27" t="n">
        <v>19500</v>
      </c>
      <c r="I346" s="28" t="n">
        <v>0.05</v>
      </c>
      <c r="J346" s="27" t="n">
        <v>13800</v>
      </c>
      <c r="K346" s="27">
        <f>G346*H346*(1-I346)</f>
        <v/>
      </c>
      <c r="L346" s="27">
        <f>K346-G346*J346</f>
        <v/>
      </c>
    </row>
    <row r="347">
      <c r="A347" s="25" t="inlineStr">
        <is>
          <t>ORD-10416</t>
        </is>
      </c>
      <c r="B347" s="26" t="n">
        <v>45774</v>
      </c>
      <c r="C347" s="25">
        <f>MONTH(B347)</f>
        <v/>
      </c>
      <c r="D347" s="25" t="inlineStr">
        <is>
          <t>East</t>
        </is>
      </c>
      <c r="E347" s="25" t="inlineStr">
        <is>
          <t>Office Supplies</t>
        </is>
      </c>
      <c r="F347" s="25" t="inlineStr">
        <is>
          <t>Notebook Set</t>
        </is>
      </c>
      <c r="G347" s="25" t="n">
        <v>8</v>
      </c>
      <c r="H347" s="27" t="n">
        <v>450</v>
      </c>
      <c r="I347" s="28" t="n">
        <v>0</v>
      </c>
      <c r="J347" s="27" t="n">
        <v>190</v>
      </c>
      <c r="K347" s="27">
        <f>G347*H347*(1-I347)</f>
        <v/>
      </c>
      <c r="L347" s="27">
        <f>K347-G347*J347</f>
        <v/>
      </c>
    </row>
    <row r="348">
      <c r="A348" s="25" t="inlineStr">
        <is>
          <t>ORD-10907</t>
        </is>
      </c>
      <c r="B348" s="26" t="n">
        <v>45774</v>
      </c>
      <c r="C348" s="25">
        <f>MONTH(B348)</f>
        <v/>
      </c>
      <c r="D348" s="25" t="inlineStr">
        <is>
          <t>East</t>
        </is>
      </c>
      <c r="E348" s="25" t="inlineStr">
        <is>
          <t>Furniture</t>
        </is>
      </c>
      <c r="F348" s="25" t="inlineStr">
        <is>
          <t>Office Chair</t>
        </is>
      </c>
      <c r="G348" s="25" t="n">
        <v>2</v>
      </c>
      <c r="H348" s="27" t="n">
        <v>8500</v>
      </c>
      <c r="I348" s="28" t="n">
        <v>0.2</v>
      </c>
      <c r="J348" s="27" t="n">
        <v>5600</v>
      </c>
      <c r="K348" s="27">
        <f>G348*H348*(1-I348)</f>
        <v/>
      </c>
      <c r="L348" s="27">
        <f>K348-G348*J348</f>
        <v/>
      </c>
    </row>
    <row r="349">
      <c r="A349" s="25" t="inlineStr">
        <is>
          <t>ORD-10455</t>
        </is>
      </c>
      <c r="B349" s="26" t="n">
        <v>45775</v>
      </c>
      <c r="C349" s="25">
        <f>MONTH(B349)</f>
        <v/>
      </c>
      <c r="D349" s="25" t="inlineStr">
        <is>
          <t>North</t>
        </is>
      </c>
      <c r="E349" s="25" t="inlineStr">
        <is>
          <t>Technology</t>
        </is>
      </c>
      <c r="F349" s="25" t="inlineStr">
        <is>
          <t>Monitor 24"</t>
        </is>
      </c>
      <c r="G349" s="25" t="n">
        <v>1</v>
      </c>
      <c r="H349" s="27" t="n">
        <v>11500</v>
      </c>
      <c r="I349" s="28" t="n">
        <v>0.2</v>
      </c>
      <c r="J349" s="27" t="n">
        <v>8200</v>
      </c>
      <c r="K349" s="27">
        <f>G349*H349*(1-I349)</f>
        <v/>
      </c>
      <c r="L349" s="27">
        <f>K349-G349*J349</f>
        <v/>
      </c>
    </row>
    <row r="350">
      <c r="A350" s="25" t="inlineStr">
        <is>
          <t>ORD-10639</t>
        </is>
      </c>
      <c r="B350" s="26" t="n">
        <v>45775</v>
      </c>
      <c r="C350" s="25">
        <f>MONTH(B350)</f>
        <v/>
      </c>
      <c r="D350" s="25" t="inlineStr">
        <is>
          <t>East</t>
        </is>
      </c>
      <c r="E350" s="25" t="inlineStr">
        <is>
          <t>Accessories</t>
        </is>
      </c>
      <c r="F350" s="25" t="inlineStr">
        <is>
          <t>Headphones</t>
        </is>
      </c>
      <c r="G350" s="25" t="n">
        <v>2</v>
      </c>
      <c r="H350" s="27" t="n">
        <v>4500</v>
      </c>
      <c r="I350" s="28" t="n">
        <v>0.1</v>
      </c>
      <c r="J350" s="27" t="n">
        <v>2600</v>
      </c>
      <c r="K350" s="27">
        <f>G350*H350*(1-I350)</f>
        <v/>
      </c>
      <c r="L350" s="27">
        <f>K350-G350*J350</f>
        <v/>
      </c>
    </row>
    <row r="351">
      <c r="A351" s="25" t="inlineStr">
        <is>
          <t>ORD-10834</t>
        </is>
      </c>
      <c r="B351" s="26" t="n">
        <v>45775</v>
      </c>
      <c r="C351" s="25">
        <f>MONTH(B351)</f>
        <v/>
      </c>
      <c r="D351" s="25" t="inlineStr">
        <is>
          <t>North</t>
        </is>
      </c>
      <c r="E351" s="25" t="inlineStr">
        <is>
          <t>Accessories</t>
        </is>
      </c>
      <c r="F351" s="25" t="inlineStr">
        <is>
          <t>Headphones</t>
        </is>
      </c>
      <c r="G351" s="25" t="n">
        <v>2</v>
      </c>
      <c r="H351" s="27" t="n">
        <v>4500</v>
      </c>
      <c r="I351" s="28" t="n">
        <v>0</v>
      </c>
      <c r="J351" s="27" t="n">
        <v>2600</v>
      </c>
      <c r="K351" s="27">
        <f>G351*H351*(1-I351)</f>
        <v/>
      </c>
      <c r="L351" s="27">
        <f>K351-G351*J351</f>
        <v/>
      </c>
    </row>
    <row r="352">
      <c r="A352" s="25" t="inlineStr">
        <is>
          <t>ORD-11135</t>
        </is>
      </c>
      <c r="B352" s="26" t="n">
        <v>45775</v>
      </c>
      <c r="C352" s="25">
        <f>MONTH(B352)</f>
        <v/>
      </c>
      <c r="D352" s="25" t="inlineStr">
        <is>
          <t>West</t>
        </is>
      </c>
      <c r="E352" s="25" t="inlineStr">
        <is>
          <t>Office Supplies</t>
        </is>
      </c>
      <c r="F352" s="25" t="inlineStr">
        <is>
          <t>Notebook Set</t>
        </is>
      </c>
      <c r="G352" s="25" t="n">
        <v>1</v>
      </c>
      <c r="H352" s="27" t="n">
        <v>450</v>
      </c>
      <c r="I352" s="28" t="n">
        <v>0.15</v>
      </c>
      <c r="J352" s="27" t="n">
        <v>190</v>
      </c>
      <c r="K352" s="27">
        <f>G352*H352*(1-I352)</f>
        <v/>
      </c>
      <c r="L352" s="27">
        <f>K352-G352*J352</f>
        <v/>
      </c>
    </row>
    <row r="353">
      <c r="A353" s="25" t="inlineStr">
        <is>
          <t>ORD-10852</t>
        </is>
      </c>
      <c r="B353" s="26" t="n">
        <v>45778</v>
      </c>
      <c r="C353" s="25">
        <f>MONTH(B353)</f>
        <v/>
      </c>
      <c r="D353" s="25" t="inlineStr">
        <is>
          <t>North</t>
        </is>
      </c>
      <c r="E353" s="25" t="inlineStr">
        <is>
          <t>Office Supplies</t>
        </is>
      </c>
      <c r="F353" s="25" t="inlineStr">
        <is>
          <t>Notebook Set</t>
        </is>
      </c>
      <c r="G353" s="25" t="n">
        <v>6</v>
      </c>
      <c r="H353" s="27" t="n">
        <v>450</v>
      </c>
      <c r="I353" s="28" t="n">
        <v>0</v>
      </c>
      <c r="J353" s="27" t="n">
        <v>190</v>
      </c>
      <c r="K353" s="27">
        <f>G353*H353*(1-I353)</f>
        <v/>
      </c>
      <c r="L353" s="27">
        <f>K353-G353*J353</f>
        <v/>
      </c>
    </row>
    <row r="354">
      <c r="A354" s="25" t="inlineStr">
        <is>
          <t>ORD-11114</t>
        </is>
      </c>
      <c r="B354" s="26" t="n">
        <v>45778</v>
      </c>
      <c r="C354" s="25">
        <f>MONTH(B354)</f>
        <v/>
      </c>
      <c r="D354" s="25" t="inlineStr">
        <is>
          <t>North</t>
        </is>
      </c>
      <c r="E354" s="25" t="inlineStr">
        <is>
          <t>Office Supplies</t>
        </is>
      </c>
      <c r="F354" s="25" t="inlineStr">
        <is>
          <t>Printer Paper Box</t>
        </is>
      </c>
      <c r="G354" s="25" t="n">
        <v>5</v>
      </c>
      <c r="H354" s="27" t="n">
        <v>1600</v>
      </c>
      <c r="I354" s="28" t="n">
        <v>0</v>
      </c>
      <c r="J354" s="27" t="n">
        <v>1050</v>
      </c>
      <c r="K354" s="27">
        <f>G354*H354*(1-I354)</f>
        <v/>
      </c>
      <c r="L354" s="27">
        <f>K354-G354*J354</f>
        <v/>
      </c>
    </row>
    <row r="355">
      <c r="A355" s="25" t="inlineStr">
        <is>
          <t>ORD-11115</t>
        </is>
      </c>
      <c r="B355" s="26" t="n">
        <v>45778</v>
      </c>
      <c r="C355" s="25">
        <f>MONTH(B355)</f>
        <v/>
      </c>
      <c r="D355" s="25" t="inlineStr">
        <is>
          <t>South</t>
        </is>
      </c>
      <c r="E355" s="25" t="inlineStr">
        <is>
          <t>Technology</t>
        </is>
      </c>
      <c r="F355" s="25" t="inlineStr">
        <is>
          <t>Mechanical Keyboard</t>
        </is>
      </c>
      <c r="G355" s="25" t="n">
        <v>3</v>
      </c>
      <c r="H355" s="27" t="n">
        <v>4200</v>
      </c>
      <c r="I355" s="28" t="n">
        <v>0.15</v>
      </c>
      <c r="J355" s="27" t="n">
        <v>2500</v>
      </c>
      <c r="K355" s="27">
        <f>G355*H355*(1-I355)</f>
        <v/>
      </c>
      <c r="L355" s="27">
        <f>K355-G355*J355</f>
        <v/>
      </c>
    </row>
    <row r="356">
      <c r="A356" s="25" t="inlineStr">
        <is>
          <t>ORD-10098</t>
        </is>
      </c>
      <c r="B356" s="26" t="n">
        <v>45779</v>
      </c>
      <c r="C356" s="25">
        <f>MONTH(B356)</f>
        <v/>
      </c>
      <c r="D356" s="25" t="inlineStr">
        <is>
          <t>North</t>
        </is>
      </c>
      <c r="E356" s="25" t="inlineStr">
        <is>
          <t>Technology</t>
        </is>
      </c>
      <c r="F356" s="25" t="inlineStr">
        <is>
          <t>Monitor 24"</t>
        </is>
      </c>
      <c r="G356" s="25" t="n">
        <v>2</v>
      </c>
      <c r="H356" s="27" t="n">
        <v>11500</v>
      </c>
      <c r="I356" s="28" t="n">
        <v>0</v>
      </c>
      <c r="J356" s="27" t="n">
        <v>8200</v>
      </c>
      <c r="K356" s="27">
        <f>G356*H356*(1-I356)</f>
        <v/>
      </c>
      <c r="L356" s="27">
        <f>K356-G356*J356</f>
        <v/>
      </c>
    </row>
    <row r="357">
      <c r="A357" s="25" t="inlineStr">
        <is>
          <t>ORD-10862</t>
        </is>
      </c>
      <c r="B357" s="26" t="n">
        <v>45779</v>
      </c>
      <c r="C357" s="25">
        <f>MONTH(B357)</f>
        <v/>
      </c>
      <c r="D357" s="25" t="inlineStr">
        <is>
          <t>North</t>
        </is>
      </c>
      <c r="E357" s="25" t="inlineStr">
        <is>
          <t>Furniture</t>
        </is>
      </c>
      <c r="F357" s="25" t="inlineStr">
        <is>
          <t>Bookshelf</t>
        </is>
      </c>
      <c r="G357" s="25" t="n">
        <v>1</v>
      </c>
      <c r="H357" s="27" t="n">
        <v>6200</v>
      </c>
      <c r="I357" s="28" t="n">
        <v>0</v>
      </c>
      <c r="J357" s="27" t="n">
        <v>4100</v>
      </c>
      <c r="K357" s="27">
        <f>G357*H357*(1-I357)</f>
        <v/>
      </c>
      <c r="L357" s="27">
        <f>K357-G357*J357</f>
        <v/>
      </c>
    </row>
    <row r="358">
      <c r="A358" s="25" t="inlineStr">
        <is>
          <t>ORD-10109</t>
        </is>
      </c>
      <c r="B358" s="26" t="n">
        <v>45780</v>
      </c>
      <c r="C358" s="25">
        <f>MONTH(B358)</f>
        <v/>
      </c>
      <c r="D358" s="25" t="inlineStr">
        <is>
          <t>East</t>
        </is>
      </c>
      <c r="E358" s="25" t="inlineStr">
        <is>
          <t>Office Supplies</t>
        </is>
      </c>
      <c r="F358" s="25" t="inlineStr">
        <is>
          <t>Desk Organizer</t>
        </is>
      </c>
      <c r="G358" s="25" t="n">
        <v>3</v>
      </c>
      <c r="H358" s="27" t="n">
        <v>850</v>
      </c>
      <c r="I358" s="28" t="n">
        <v>0.1</v>
      </c>
      <c r="J358" s="27" t="n">
        <v>420</v>
      </c>
      <c r="K358" s="27">
        <f>G358*H358*(1-I358)</f>
        <v/>
      </c>
      <c r="L358" s="27">
        <f>K358-G358*J358</f>
        <v/>
      </c>
    </row>
    <row r="359">
      <c r="A359" s="25" t="inlineStr">
        <is>
          <t>ORD-10352</t>
        </is>
      </c>
      <c r="B359" s="26" t="n">
        <v>45780</v>
      </c>
      <c r="C359" s="25">
        <f>MONTH(B359)</f>
        <v/>
      </c>
      <c r="D359" s="25" t="inlineStr">
        <is>
          <t>East</t>
        </is>
      </c>
      <c r="E359" s="25" t="inlineStr">
        <is>
          <t>Furniture</t>
        </is>
      </c>
      <c r="F359" s="25" t="inlineStr">
        <is>
          <t>Bookshelf</t>
        </is>
      </c>
      <c r="G359" s="25" t="n">
        <v>2</v>
      </c>
      <c r="H359" s="27" t="n">
        <v>6200</v>
      </c>
      <c r="I359" s="28" t="n">
        <v>0.15</v>
      </c>
      <c r="J359" s="27" t="n">
        <v>4100</v>
      </c>
      <c r="K359" s="27">
        <f>G359*H359*(1-I359)</f>
        <v/>
      </c>
      <c r="L359" s="27">
        <f>K359-G359*J359</f>
        <v/>
      </c>
    </row>
    <row r="360">
      <c r="A360" s="25" t="inlineStr">
        <is>
          <t>ORD-10680</t>
        </is>
      </c>
      <c r="B360" s="26" t="n">
        <v>45780</v>
      </c>
      <c r="C360" s="25">
        <f>MONTH(B360)</f>
        <v/>
      </c>
      <c r="D360" s="25" t="inlineStr">
        <is>
          <t>North</t>
        </is>
      </c>
      <c r="E360" s="25" t="inlineStr">
        <is>
          <t>Office Supplies</t>
        </is>
      </c>
      <c r="F360" s="25" t="inlineStr">
        <is>
          <t>Printer Paper Box</t>
        </is>
      </c>
      <c r="G360" s="25" t="n">
        <v>4</v>
      </c>
      <c r="H360" s="27" t="n">
        <v>1600</v>
      </c>
      <c r="I360" s="28" t="n">
        <v>0.2</v>
      </c>
      <c r="J360" s="27" t="n">
        <v>1050</v>
      </c>
      <c r="K360" s="27">
        <f>G360*H360*(1-I360)</f>
        <v/>
      </c>
      <c r="L360" s="27">
        <f>K360-G360*J360</f>
        <v/>
      </c>
    </row>
    <row r="361">
      <c r="A361" s="25" t="inlineStr">
        <is>
          <t>ORD-11091</t>
        </is>
      </c>
      <c r="B361" s="26" t="n">
        <v>45781</v>
      </c>
      <c r="C361" s="25">
        <f>MONTH(B361)</f>
        <v/>
      </c>
      <c r="D361" s="25" t="inlineStr">
        <is>
          <t>South</t>
        </is>
      </c>
      <c r="E361" s="25" t="inlineStr">
        <is>
          <t>Technology</t>
        </is>
      </c>
      <c r="F361" s="25" t="inlineStr">
        <is>
          <t>Wireless Mouse</t>
        </is>
      </c>
      <c r="G361" s="25" t="n">
        <v>4</v>
      </c>
      <c r="H361" s="27" t="n">
        <v>1200</v>
      </c>
      <c r="I361" s="28" t="n">
        <v>0.05</v>
      </c>
      <c r="J361" s="27" t="n">
        <v>650</v>
      </c>
      <c r="K361" s="27">
        <f>G361*H361*(1-I361)</f>
        <v/>
      </c>
      <c r="L361" s="27">
        <f>K361-G361*J361</f>
        <v/>
      </c>
    </row>
    <row r="362">
      <c r="A362" s="25" t="inlineStr">
        <is>
          <t>ORD-11182</t>
        </is>
      </c>
      <c r="B362" s="26" t="n">
        <v>45781</v>
      </c>
      <c r="C362" s="25">
        <f>MONTH(B362)</f>
        <v/>
      </c>
      <c r="D362" s="25" t="inlineStr">
        <is>
          <t>East</t>
        </is>
      </c>
      <c r="E362" s="25" t="inlineStr">
        <is>
          <t>Office Supplies</t>
        </is>
      </c>
      <c r="F362" s="25" t="inlineStr">
        <is>
          <t>Notebook Set</t>
        </is>
      </c>
      <c r="G362" s="25" t="n">
        <v>3</v>
      </c>
      <c r="H362" s="27" t="n">
        <v>450</v>
      </c>
      <c r="I362" s="28" t="n">
        <v>0.15</v>
      </c>
      <c r="J362" s="27" t="n">
        <v>190</v>
      </c>
      <c r="K362" s="27">
        <f>G362*H362*(1-I362)</f>
        <v/>
      </c>
      <c r="L362" s="27">
        <f>K362-G362*J362</f>
        <v/>
      </c>
    </row>
    <row r="363">
      <c r="A363" s="25" t="inlineStr">
        <is>
          <t>ORD-10985</t>
        </is>
      </c>
      <c r="B363" s="26" t="n">
        <v>45782</v>
      </c>
      <c r="C363" s="25">
        <f>MONTH(B363)</f>
        <v/>
      </c>
      <c r="D363" s="25" t="inlineStr">
        <is>
          <t>South</t>
        </is>
      </c>
      <c r="E363" s="25" t="inlineStr">
        <is>
          <t>Furniture</t>
        </is>
      </c>
      <c r="F363" s="25" t="inlineStr">
        <is>
          <t>Office Chair</t>
        </is>
      </c>
      <c r="G363" s="25" t="n">
        <v>2</v>
      </c>
      <c r="H363" s="27" t="n">
        <v>8500</v>
      </c>
      <c r="I363" s="28" t="n">
        <v>0.2</v>
      </c>
      <c r="J363" s="27" t="n">
        <v>5600</v>
      </c>
      <c r="K363" s="27">
        <f>G363*H363*(1-I363)</f>
        <v/>
      </c>
      <c r="L363" s="27">
        <f>K363-G363*J363</f>
        <v/>
      </c>
    </row>
    <row r="364">
      <c r="A364" s="25" t="inlineStr">
        <is>
          <t>ORD-11055</t>
        </is>
      </c>
      <c r="B364" s="26" t="n">
        <v>45782</v>
      </c>
      <c r="C364" s="25">
        <f>MONTH(B364)</f>
        <v/>
      </c>
      <c r="D364" s="25" t="inlineStr">
        <is>
          <t>West</t>
        </is>
      </c>
      <c r="E364" s="25" t="inlineStr">
        <is>
          <t>Accessories</t>
        </is>
      </c>
      <c r="F364" s="25" t="inlineStr">
        <is>
          <t>Headphones</t>
        </is>
      </c>
      <c r="G364" s="25" t="n">
        <v>2</v>
      </c>
      <c r="H364" s="27" t="n">
        <v>4500</v>
      </c>
      <c r="I364" s="28" t="n">
        <v>0.05</v>
      </c>
      <c r="J364" s="27" t="n">
        <v>2600</v>
      </c>
      <c r="K364" s="27">
        <f>G364*H364*(1-I364)</f>
        <v/>
      </c>
      <c r="L364" s="27">
        <f>K364-G364*J364</f>
        <v/>
      </c>
    </row>
    <row r="365">
      <c r="A365" s="25" t="inlineStr">
        <is>
          <t>ORD-11130</t>
        </is>
      </c>
      <c r="B365" s="26" t="n">
        <v>45782</v>
      </c>
      <c r="C365" s="25">
        <f>MONTH(B365)</f>
        <v/>
      </c>
      <c r="D365" s="25" t="inlineStr">
        <is>
          <t>South</t>
        </is>
      </c>
      <c r="E365" s="25" t="inlineStr">
        <is>
          <t>Office Supplies</t>
        </is>
      </c>
      <c r="F365" s="25" t="inlineStr">
        <is>
          <t>Notebook Set</t>
        </is>
      </c>
      <c r="G365" s="25" t="n">
        <v>6</v>
      </c>
      <c r="H365" s="27" t="n">
        <v>450</v>
      </c>
      <c r="I365" s="28" t="n">
        <v>0.2</v>
      </c>
      <c r="J365" s="27" t="n">
        <v>190</v>
      </c>
      <c r="K365" s="27">
        <f>G365*H365*(1-I365)</f>
        <v/>
      </c>
      <c r="L365" s="27">
        <f>K365-G365*J365</f>
        <v/>
      </c>
    </row>
    <row r="366">
      <c r="A366" s="25" t="inlineStr">
        <is>
          <t>ORD-11159</t>
        </is>
      </c>
      <c r="B366" s="26" t="n">
        <v>45782</v>
      </c>
      <c r="C366" s="25">
        <f>MONTH(B366)</f>
        <v/>
      </c>
      <c r="D366" s="25" t="inlineStr">
        <is>
          <t>East</t>
        </is>
      </c>
      <c r="E366" s="25" t="inlineStr">
        <is>
          <t>Technology</t>
        </is>
      </c>
      <c r="F366" s="25" t="inlineStr">
        <is>
          <t>Monitor 24"</t>
        </is>
      </c>
      <c r="G366" s="25" t="n">
        <v>1</v>
      </c>
      <c r="H366" s="27" t="n">
        <v>11500</v>
      </c>
      <c r="I366" s="28" t="n">
        <v>0</v>
      </c>
      <c r="J366" s="27" t="n">
        <v>8200</v>
      </c>
      <c r="K366" s="27">
        <f>G366*H366*(1-I366)</f>
        <v/>
      </c>
      <c r="L366" s="27">
        <f>K366-G366*J366</f>
        <v/>
      </c>
    </row>
    <row r="367">
      <c r="A367" s="25" t="inlineStr">
        <is>
          <t>ORD-10062</t>
        </is>
      </c>
      <c r="B367" s="26" t="n">
        <v>45783</v>
      </c>
      <c r="C367" s="25">
        <f>MONTH(B367)</f>
        <v/>
      </c>
      <c r="D367" s="25" t="inlineStr">
        <is>
          <t>West</t>
        </is>
      </c>
      <c r="E367" s="25" t="inlineStr">
        <is>
          <t>Furniture</t>
        </is>
      </c>
      <c r="F367" s="25" t="inlineStr">
        <is>
          <t>Bookshelf</t>
        </is>
      </c>
      <c r="G367" s="25" t="n">
        <v>2</v>
      </c>
      <c r="H367" s="27" t="n">
        <v>6200</v>
      </c>
      <c r="I367" s="28" t="n">
        <v>0</v>
      </c>
      <c r="J367" s="27" t="n">
        <v>4100</v>
      </c>
      <c r="K367" s="27">
        <f>G367*H367*(1-I367)</f>
        <v/>
      </c>
      <c r="L367" s="27">
        <f>K367-G367*J367</f>
        <v/>
      </c>
    </row>
    <row r="368">
      <c r="A368" s="25" t="inlineStr">
        <is>
          <t>ORD-10349</t>
        </is>
      </c>
      <c r="B368" s="26" t="n">
        <v>45783</v>
      </c>
      <c r="C368" s="25">
        <f>MONTH(B368)</f>
        <v/>
      </c>
      <c r="D368" s="25" t="inlineStr">
        <is>
          <t>South</t>
        </is>
      </c>
      <c r="E368" s="25" t="inlineStr">
        <is>
          <t>Office Supplies</t>
        </is>
      </c>
      <c r="F368" s="25" t="inlineStr">
        <is>
          <t>Printer Paper Box</t>
        </is>
      </c>
      <c r="G368" s="25" t="n">
        <v>2</v>
      </c>
      <c r="H368" s="27" t="n">
        <v>1600</v>
      </c>
      <c r="I368" s="28" t="n">
        <v>0.15</v>
      </c>
      <c r="J368" s="27" t="n">
        <v>1050</v>
      </c>
      <c r="K368" s="27">
        <f>G368*H368*(1-I368)</f>
        <v/>
      </c>
      <c r="L368" s="27">
        <f>K368-G368*J368</f>
        <v/>
      </c>
    </row>
    <row r="369">
      <c r="A369" s="25" t="inlineStr">
        <is>
          <t>ORD-10491</t>
        </is>
      </c>
      <c r="B369" s="26" t="n">
        <v>45783</v>
      </c>
      <c r="C369" s="25">
        <f>MONTH(B369)</f>
        <v/>
      </c>
      <c r="D369" s="25" t="inlineStr">
        <is>
          <t>South</t>
        </is>
      </c>
      <c r="E369" s="25" t="inlineStr">
        <is>
          <t>Accessories</t>
        </is>
      </c>
      <c r="F369" s="25" t="inlineStr">
        <is>
          <t>USB-C Hub</t>
        </is>
      </c>
      <c r="G369" s="25" t="n">
        <v>4</v>
      </c>
      <c r="H369" s="27" t="n">
        <v>1800</v>
      </c>
      <c r="I369" s="28" t="n">
        <v>0.2</v>
      </c>
      <c r="J369" s="27" t="n">
        <v>980</v>
      </c>
      <c r="K369" s="27">
        <f>G369*H369*(1-I369)</f>
        <v/>
      </c>
      <c r="L369" s="27">
        <f>K369-G369*J369</f>
        <v/>
      </c>
    </row>
    <row r="370">
      <c r="A370" s="25" t="inlineStr">
        <is>
          <t>ORD-10631</t>
        </is>
      </c>
      <c r="B370" s="26" t="n">
        <v>45783</v>
      </c>
      <c r="C370" s="25">
        <f>MONTH(B370)</f>
        <v/>
      </c>
      <c r="D370" s="25" t="inlineStr">
        <is>
          <t>South</t>
        </is>
      </c>
      <c r="E370" s="25" t="inlineStr">
        <is>
          <t>Accessories</t>
        </is>
      </c>
      <c r="F370" s="25" t="inlineStr">
        <is>
          <t>USB-C Hub</t>
        </is>
      </c>
      <c r="G370" s="25" t="n">
        <v>1</v>
      </c>
      <c r="H370" s="27" t="n">
        <v>1800</v>
      </c>
      <c r="I370" s="28" t="n">
        <v>0</v>
      </c>
      <c r="J370" s="27" t="n">
        <v>980</v>
      </c>
      <c r="K370" s="27">
        <f>G370*H370*(1-I370)</f>
        <v/>
      </c>
      <c r="L370" s="27">
        <f>K370-G370*J370</f>
        <v/>
      </c>
    </row>
    <row r="371">
      <c r="A371" s="25" t="inlineStr">
        <is>
          <t>ORD-10009</t>
        </is>
      </c>
      <c r="B371" s="26" t="n">
        <v>45784</v>
      </c>
      <c r="C371" s="25">
        <f>MONTH(B371)</f>
        <v/>
      </c>
      <c r="D371" s="25" t="inlineStr">
        <is>
          <t>North</t>
        </is>
      </c>
      <c r="E371" s="25" t="inlineStr">
        <is>
          <t>Office Supplies</t>
        </is>
      </c>
      <c r="F371" s="25" t="inlineStr">
        <is>
          <t>Notebook Set</t>
        </is>
      </c>
      <c r="G371" s="25" t="n">
        <v>6</v>
      </c>
      <c r="H371" s="27" t="n">
        <v>450</v>
      </c>
      <c r="I371" s="28" t="n">
        <v>0</v>
      </c>
      <c r="J371" s="27" t="n">
        <v>190</v>
      </c>
      <c r="K371" s="27">
        <f>G371*H371*(1-I371)</f>
        <v/>
      </c>
      <c r="L371" s="27">
        <f>K371-G371*J371</f>
        <v/>
      </c>
    </row>
    <row r="372">
      <c r="A372" s="25" t="inlineStr">
        <is>
          <t>ORD-10056</t>
        </is>
      </c>
      <c r="B372" s="26" t="n">
        <v>45784</v>
      </c>
      <c r="C372" s="25">
        <f>MONTH(B372)</f>
        <v/>
      </c>
      <c r="D372" s="25" t="inlineStr">
        <is>
          <t>North</t>
        </is>
      </c>
      <c r="E372" s="25" t="inlineStr">
        <is>
          <t>Technology</t>
        </is>
      </c>
      <c r="F372" s="25" t="inlineStr">
        <is>
          <t>Wireless Mouse</t>
        </is>
      </c>
      <c r="G372" s="25" t="n">
        <v>5</v>
      </c>
      <c r="H372" s="27" t="n">
        <v>1200</v>
      </c>
      <c r="I372" s="28" t="n">
        <v>0.2</v>
      </c>
      <c r="J372" s="27" t="n">
        <v>650</v>
      </c>
      <c r="K372" s="27">
        <f>G372*H372*(1-I372)</f>
        <v/>
      </c>
      <c r="L372" s="27">
        <f>K372-G372*J372</f>
        <v/>
      </c>
    </row>
    <row r="373">
      <c r="A373" s="25" t="inlineStr">
        <is>
          <t>ORD-10019</t>
        </is>
      </c>
      <c r="B373" s="26" t="n">
        <v>45785</v>
      </c>
      <c r="C373" s="25">
        <f>MONTH(B373)</f>
        <v/>
      </c>
      <c r="D373" s="25" t="inlineStr">
        <is>
          <t>South</t>
        </is>
      </c>
      <c r="E373" s="25" t="inlineStr">
        <is>
          <t>Furniture</t>
        </is>
      </c>
      <c r="F373" s="25" t="inlineStr">
        <is>
          <t>Bookshelf</t>
        </is>
      </c>
      <c r="G373" s="25" t="n">
        <v>1</v>
      </c>
      <c r="H373" s="27" t="n">
        <v>6200</v>
      </c>
      <c r="I373" s="28" t="n">
        <v>0.2</v>
      </c>
      <c r="J373" s="27" t="n">
        <v>4100</v>
      </c>
      <c r="K373" s="27">
        <f>G373*H373*(1-I373)</f>
        <v/>
      </c>
      <c r="L373" s="27">
        <f>K373-G373*J373</f>
        <v/>
      </c>
    </row>
    <row r="374">
      <c r="A374" s="25" t="inlineStr">
        <is>
          <t>ORD-10320</t>
        </is>
      </c>
      <c r="B374" s="26" t="n">
        <v>45785</v>
      </c>
      <c r="C374" s="25">
        <f>MONTH(B374)</f>
        <v/>
      </c>
      <c r="D374" s="25" t="inlineStr">
        <is>
          <t>West</t>
        </is>
      </c>
      <c r="E374" s="25" t="inlineStr">
        <is>
          <t>Technology</t>
        </is>
      </c>
      <c r="F374" s="25" t="inlineStr">
        <is>
          <t>Monitor 24"</t>
        </is>
      </c>
      <c r="G374" s="25" t="n">
        <v>2</v>
      </c>
      <c r="H374" s="27" t="n">
        <v>11500</v>
      </c>
      <c r="I374" s="28" t="n">
        <v>0.1</v>
      </c>
      <c r="J374" s="27" t="n">
        <v>8200</v>
      </c>
      <c r="K374" s="27">
        <f>G374*H374*(1-I374)</f>
        <v/>
      </c>
      <c r="L374" s="27">
        <f>K374-G374*J374</f>
        <v/>
      </c>
    </row>
    <row r="375">
      <c r="A375" s="25" t="inlineStr">
        <is>
          <t>ORD-10515</t>
        </is>
      </c>
      <c r="B375" s="26" t="n">
        <v>45785</v>
      </c>
      <c r="C375" s="25">
        <f>MONTH(B375)</f>
        <v/>
      </c>
      <c r="D375" s="25" t="inlineStr">
        <is>
          <t>North</t>
        </is>
      </c>
      <c r="E375" s="25" t="inlineStr">
        <is>
          <t>Accessories</t>
        </is>
      </c>
      <c r="F375" s="25" t="inlineStr">
        <is>
          <t>USB-C Hub</t>
        </is>
      </c>
      <c r="G375" s="25" t="n">
        <v>1</v>
      </c>
      <c r="H375" s="27" t="n">
        <v>1800</v>
      </c>
      <c r="I375" s="28" t="n">
        <v>0</v>
      </c>
      <c r="J375" s="27" t="n">
        <v>980</v>
      </c>
      <c r="K375" s="27">
        <f>G375*H375*(1-I375)</f>
        <v/>
      </c>
      <c r="L375" s="27">
        <f>K375-G375*J375</f>
        <v/>
      </c>
    </row>
    <row r="376">
      <c r="A376" s="25" t="inlineStr">
        <is>
          <t>ORD-10582</t>
        </is>
      </c>
      <c r="B376" s="26" t="n">
        <v>45785</v>
      </c>
      <c r="C376" s="25">
        <f>MONTH(B376)</f>
        <v/>
      </c>
      <c r="D376" s="25" t="inlineStr">
        <is>
          <t>West</t>
        </is>
      </c>
      <c r="E376" s="25" t="inlineStr">
        <is>
          <t>Office Supplies</t>
        </is>
      </c>
      <c r="F376" s="25" t="inlineStr">
        <is>
          <t>Desk Organizer</t>
        </is>
      </c>
      <c r="G376" s="25" t="n">
        <v>1</v>
      </c>
      <c r="H376" s="27" t="n">
        <v>850</v>
      </c>
      <c r="I376" s="28" t="n">
        <v>0</v>
      </c>
      <c r="J376" s="27" t="n">
        <v>420</v>
      </c>
      <c r="K376" s="27">
        <f>G376*H376*(1-I376)</f>
        <v/>
      </c>
      <c r="L376" s="27">
        <f>K376-G376*J376</f>
        <v/>
      </c>
    </row>
    <row r="377">
      <c r="A377" s="25" t="inlineStr">
        <is>
          <t>ORD-10632</t>
        </is>
      </c>
      <c r="B377" s="26" t="n">
        <v>45785</v>
      </c>
      <c r="C377" s="25">
        <f>MONTH(B377)</f>
        <v/>
      </c>
      <c r="D377" s="25" t="inlineStr">
        <is>
          <t>West</t>
        </is>
      </c>
      <c r="E377" s="25" t="inlineStr">
        <is>
          <t>Office Supplies</t>
        </is>
      </c>
      <c r="F377" s="25" t="inlineStr">
        <is>
          <t>Notebook Set</t>
        </is>
      </c>
      <c r="G377" s="25" t="n">
        <v>4</v>
      </c>
      <c r="H377" s="27" t="n">
        <v>450</v>
      </c>
      <c r="I377" s="28" t="n">
        <v>0.05</v>
      </c>
      <c r="J377" s="27" t="n">
        <v>190</v>
      </c>
      <c r="K377" s="27">
        <f>G377*H377*(1-I377)</f>
        <v/>
      </c>
      <c r="L377" s="27">
        <f>K377-G377*J377</f>
        <v/>
      </c>
    </row>
    <row r="378">
      <c r="A378" s="25" t="inlineStr">
        <is>
          <t>ORD-10987</t>
        </is>
      </c>
      <c r="B378" s="26" t="n">
        <v>45785</v>
      </c>
      <c r="C378" s="25">
        <f>MONTH(B378)</f>
        <v/>
      </c>
      <c r="D378" s="25" t="inlineStr">
        <is>
          <t>West</t>
        </is>
      </c>
      <c r="E378" s="25" t="inlineStr">
        <is>
          <t>Office Supplies</t>
        </is>
      </c>
      <c r="F378" s="25" t="inlineStr">
        <is>
          <t>Notebook Set</t>
        </is>
      </c>
      <c r="G378" s="25" t="n">
        <v>3</v>
      </c>
      <c r="H378" s="27" t="n">
        <v>450</v>
      </c>
      <c r="I378" s="28" t="n">
        <v>0</v>
      </c>
      <c r="J378" s="27" t="n">
        <v>190</v>
      </c>
      <c r="K378" s="27">
        <f>G378*H378*(1-I378)</f>
        <v/>
      </c>
      <c r="L378" s="27">
        <f>K378-G378*J378</f>
        <v/>
      </c>
    </row>
    <row r="379">
      <c r="A379" s="25" t="inlineStr">
        <is>
          <t>ORD-11193</t>
        </is>
      </c>
      <c r="B379" s="26" t="n">
        <v>45785</v>
      </c>
      <c r="C379" s="25">
        <f>MONTH(B379)</f>
        <v/>
      </c>
      <c r="D379" s="25" t="inlineStr">
        <is>
          <t>East</t>
        </is>
      </c>
      <c r="E379" s="25" t="inlineStr">
        <is>
          <t>Office Supplies</t>
        </is>
      </c>
      <c r="F379" s="25" t="inlineStr">
        <is>
          <t>Printer Paper Box</t>
        </is>
      </c>
      <c r="G379" s="25" t="n">
        <v>3</v>
      </c>
      <c r="H379" s="27" t="n">
        <v>1600</v>
      </c>
      <c r="I379" s="28" t="n">
        <v>0</v>
      </c>
      <c r="J379" s="27" t="n">
        <v>1050</v>
      </c>
      <c r="K379" s="27">
        <f>G379*H379*(1-I379)</f>
        <v/>
      </c>
      <c r="L379" s="27">
        <f>K379-G379*J379</f>
        <v/>
      </c>
    </row>
    <row r="380">
      <c r="A380" s="25" t="inlineStr">
        <is>
          <t>ORD-10497</t>
        </is>
      </c>
      <c r="B380" s="26" t="n">
        <v>45786</v>
      </c>
      <c r="C380" s="25">
        <f>MONTH(B380)</f>
        <v/>
      </c>
      <c r="D380" s="25" t="inlineStr">
        <is>
          <t>West</t>
        </is>
      </c>
      <c r="E380" s="25" t="inlineStr">
        <is>
          <t>Office Supplies</t>
        </is>
      </c>
      <c r="F380" s="25" t="inlineStr">
        <is>
          <t>Printer Paper Box</t>
        </is>
      </c>
      <c r="G380" s="25" t="n">
        <v>6</v>
      </c>
      <c r="H380" s="27" t="n">
        <v>1600</v>
      </c>
      <c r="I380" s="28" t="n">
        <v>0.1</v>
      </c>
      <c r="J380" s="27" t="n">
        <v>1050</v>
      </c>
      <c r="K380" s="27">
        <f>G380*H380*(1-I380)</f>
        <v/>
      </c>
      <c r="L380" s="27">
        <f>K380-G380*J380</f>
        <v/>
      </c>
    </row>
    <row r="381">
      <c r="A381" s="25" t="inlineStr">
        <is>
          <t>ORD-10743</t>
        </is>
      </c>
      <c r="B381" s="26" t="n">
        <v>45786</v>
      </c>
      <c r="C381" s="25">
        <f>MONTH(B381)</f>
        <v/>
      </c>
      <c r="D381" s="25" t="inlineStr">
        <is>
          <t>West</t>
        </is>
      </c>
      <c r="E381" s="25" t="inlineStr">
        <is>
          <t>Technology</t>
        </is>
      </c>
      <c r="F381" s="25" t="inlineStr">
        <is>
          <t>Monitor 24"</t>
        </is>
      </c>
      <c r="G381" s="25" t="n">
        <v>2</v>
      </c>
      <c r="H381" s="27" t="n">
        <v>11500</v>
      </c>
      <c r="I381" s="28" t="n">
        <v>0.2</v>
      </c>
      <c r="J381" s="27" t="n">
        <v>8200</v>
      </c>
      <c r="K381" s="27">
        <f>G381*H381*(1-I381)</f>
        <v/>
      </c>
      <c r="L381" s="27">
        <f>K381-G381*J381</f>
        <v/>
      </c>
    </row>
    <row r="382">
      <c r="A382" s="25" t="inlineStr">
        <is>
          <t>ORD-10956</t>
        </is>
      </c>
      <c r="B382" s="26" t="n">
        <v>45786</v>
      </c>
      <c r="C382" s="25">
        <f>MONTH(B382)</f>
        <v/>
      </c>
      <c r="D382" s="25" t="inlineStr">
        <is>
          <t>South</t>
        </is>
      </c>
      <c r="E382" s="25" t="inlineStr">
        <is>
          <t>Accessories</t>
        </is>
      </c>
      <c r="F382" s="25" t="inlineStr">
        <is>
          <t>Webcam</t>
        </is>
      </c>
      <c r="G382" s="25" t="n">
        <v>2</v>
      </c>
      <c r="H382" s="27" t="n">
        <v>3200</v>
      </c>
      <c r="I382" s="28" t="n">
        <v>0.15</v>
      </c>
      <c r="J382" s="27" t="n">
        <v>1900</v>
      </c>
      <c r="K382" s="27">
        <f>G382*H382*(1-I382)</f>
        <v/>
      </c>
      <c r="L382" s="27">
        <f>K382-G382*J382</f>
        <v/>
      </c>
    </row>
    <row r="383">
      <c r="A383" s="25" t="inlineStr">
        <is>
          <t>ORD-10203</t>
        </is>
      </c>
      <c r="B383" s="26" t="n">
        <v>45787</v>
      </c>
      <c r="C383" s="25">
        <f>MONTH(B383)</f>
        <v/>
      </c>
      <c r="D383" s="25" t="inlineStr">
        <is>
          <t>East</t>
        </is>
      </c>
      <c r="E383" s="25" t="inlineStr">
        <is>
          <t>Accessories</t>
        </is>
      </c>
      <c r="F383" s="25" t="inlineStr">
        <is>
          <t>Webcam</t>
        </is>
      </c>
      <c r="G383" s="25" t="n">
        <v>3</v>
      </c>
      <c r="H383" s="27" t="n">
        <v>3200</v>
      </c>
      <c r="I383" s="28" t="n">
        <v>0.05</v>
      </c>
      <c r="J383" s="27" t="n">
        <v>1900</v>
      </c>
      <c r="K383" s="27">
        <f>G383*H383*(1-I383)</f>
        <v/>
      </c>
      <c r="L383" s="27">
        <f>K383-G383*J383</f>
        <v/>
      </c>
    </row>
    <row r="384">
      <c r="A384" s="25" t="inlineStr">
        <is>
          <t>ORD-10252</t>
        </is>
      </c>
      <c r="B384" s="26" t="n">
        <v>45787</v>
      </c>
      <c r="C384" s="25">
        <f>MONTH(B384)</f>
        <v/>
      </c>
      <c r="D384" s="25" t="inlineStr">
        <is>
          <t>South</t>
        </is>
      </c>
      <c r="E384" s="25" t="inlineStr">
        <is>
          <t>Accessories</t>
        </is>
      </c>
      <c r="F384" s="25" t="inlineStr">
        <is>
          <t>USB-C Hub</t>
        </is>
      </c>
      <c r="G384" s="25" t="n">
        <v>2</v>
      </c>
      <c r="H384" s="27" t="n">
        <v>1800</v>
      </c>
      <c r="I384" s="28" t="n">
        <v>0</v>
      </c>
      <c r="J384" s="27" t="n">
        <v>980</v>
      </c>
      <c r="K384" s="27">
        <f>G384*H384*(1-I384)</f>
        <v/>
      </c>
      <c r="L384" s="27">
        <f>K384-G384*J384</f>
        <v/>
      </c>
    </row>
    <row r="385">
      <c r="A385" s="25" t="inlineStr">
        <is>
          <t>ORD-10573</t>
        </is>
      </c>
      <c r="B385" s="26" t="n">
        <v>45787</v>
      </c>
      <c r="C385" s="25">
        <f>MONTH(B385)</f>
        <v/>
      </c>
      <c r="D385" s="25" t="inlineStr">
        <is>
          <t>South</t>
        </is>
      </c>
      <c r="E385" s="25" t="inlineStr">
        <is>
          <t>Accessories</t>
        </is>
      </c>
      <c r="F385" s="25" t="inlineStr">
        <is>
          <t>Webcam</t>
        </is>
      </c>
      <c r="G385" s="25" t="n">
        <v>3</v>
      </c>
      <c r="H385" s="27" t="n">
        <v>3200</v>
      </c>
      <c r="I385" s="28" t="n">
        <v>0</v>
      </c>
      <c r="J385" s="27" t="n">
        <v>1900</v>
      </c>
      <c r="K385" s="27">
        <f>G385*H385*(1-I385)</f>
        <v/>
      </c>
      <c r="L385" s="27">
        <f>K385-G385*J385</f>
        <v/>
      </c>
    </row>
    <row r="386">
      <c r="A386" s="25" t="inlineStr">
        <is>
          <t>ORD-10655</t>
        </is>
      </c>
      <c r="B386" s="26" t="n">
        <v>45787</v>
      </c>
      <c r="C386" s="25">
        <f>MONTH(B386)</f>
        <v/>
      </c>
      <c r="D386" s="25" t="inlineStr">
        <is>
          <t>North</t>
        </is>
      </c>
      <c r="E386" s="25" t="inlineStr">
        <is>
          <t>Accessories</t>
        </is>
      </c>
      <c r="F386" s="25" t="inlineStr">
        <is>
          <t>USB-C Hub</t>
        </is>
      </c>
      <c r="G386" s="25" t="n">
        <v>2</v>
      </c>
      <c r="H386" s="27" t="n">
        <v>1800</v>
      </c>
      <c r="I386" s="28" t="n">
        <v>0</v>
      </c>
      <c r="J386" s="27" t="n">
        <v>980</v>
      </c>
      <c r="K386" s="27">
        <f>G386*H386*(1-I386)</f>
        <v/>
      </c>
      <c r="L386" s="27">
        <f>K386-G386*J386</f>
        <v/>
      </c>
    </row>
    <row r="387">
      <c r="A387" s="25" t="inlineStr">
        <is>
          <t>ORD-10764</t>
        </is>
      </c>
      <c r="B387" s="26" t="n">
        <v>45787</v>
      </c>
      <c r="C387" s="25">
        <f>MONTH(B387)</f>
        <v/>
      </c>
      <c r="D387" s="25" t="inlineStr">
        <is>
          <t>West</t>
        </is>
      </c>
      <c r="E387" s="25" t="inlineStr">
        <is>
          <t>Technology</t>
        </is>
      </c>
      <c r="F387" s="25" t="inlineStr">
        <is>
          <t>Mechanical Keyboard</t>
        </is>
      </c>
      <c r="G387" s="25" t="n">
        <v>1</v>
      </c>
      <c r="H387" s="27" t="n">
        <v>4200</v>
      </c>
      <c r="I387" s="28" t="n">
        <v>0.15</v>
      </c>
      <c r="J387" s="27" t="n">
        <v>2500</v>
      </c>
      <c r="K387" s="27">
        <f>G387*H387*(1-I387)</f>
        <v/>
      </c>
      <c r="L387" s="27">
        <f>K387-G387*J387</f>
        <v/>
      </c>
    </row>
    <row r="388">
      <c r="A388" s="25" t="inlineStr">
        <is>
          <t>ORD-10471</t>
        </is>
      </c>
      <c r="B388" s="26" t="n">
        <v>45788</v>
      </c>
      <c r="C388" s="25">
        <f>MONTH(B388)</f>
        <v/>
      </c>
      <c r="D388" s="25" t="inlineStr">
        <is>
          <t>South</t>
        </is>
      </c>
      <c r="E388" s="25" t="inlineStr">
        <is>
          <t>Office Supplies</t>
        </is>
      </c>
      <c r="F388" s="25" t="inlineStr">
        <is>
          <t>Printer Paper Box</t>
        </is>
      </c>
      <c r="G388" s="25" t="n">
        <v>6</v>
      </c>
      <c r="H388" s="27" t="n">
        <v>1600</v>
      </c>
      <c r="I388" s="28" t="n">
        <v>0</v>
      </c>
      <c r="J388" s="27" t="n">
        <v>1050</v>
      </c>
      <c r="K388" s="27">
        <f>G388*H388*(1-I388)</f>
        <v/>
      </c>
      <c r="L388" s="27">
        <f>K388-G388*J388</f>
        <v/>
      </c>
    </row>
    <row r="389">
      <c r="A389" s="25" t="inlineStr">
        <is>
          <t>ORD-10711</t>
        </is>
      </c>
      <c r="B389" s="26" t="n">
        <v>45788</v>
      </c>
      <c r="C389" s="25">
        <f>MONTH(B389)</f>
        <v/>
      </c>
      <c r="D389" s="25" t="inlineStr">
        <is>
          <t>South</t>
        </is>
      </c>
      <c r="E389" s="25" t="inlineStr">
        <is>
          <t>Office Supplies</t>
        </is>
      </c>
      <c r="F389" s="25" t="inlineStr">
        <is>
          <t>Notebook Set</t>
        </is>
      </c>
      <c r="G389" s="25" t="n">
        <v>2</v>
      </c>
      <c r="H389" s="27" t="n">
        <v>450</v>
      </c>
      <c r="I389" s="28" t="n">
        <v>0</v>
      </c>
      <c r="J389" s="27" t="n">
        <v>190</v>
      </c>
      <c r="K389" s="27">
        <f>G389*H389*(1-I389)</f>
        <v/>
      </c>
      <c r="L389" s="27">
        <f>K389-G389*J389</f>
        <v/>
      </c>
    </row>
    <row r="390">
      <c r="A390" s="25" t="inlineStr">
        <is>
          <t>ORD-10012</t>
        </is>
      </c>
      <c r="B390" s="26" t="n">
        <v>45790</v>
      </c>
      <c r="C390" s="25">
        <f>MONTH(B390)</f>
        <v/>
      </c>
      <c r="D390" s="25" t="inlineStr">
        <is>
          <t>West</t>
        </is>
      </c>
      <c r="E390" s="25" t="inlineStr">
        <is>
          <t>Technology</t>
        </is>
      </c>
      <c r="F390" s="25" t="inlineStr">
        <is>
          <t>Monitor 24"</t>
        </is>
      </c>
      <c r="G390" s="25" t="n">
        <v>1</v>
      </c>
      <c r="H390" s="27" t="n">
        <v>11500</v>
      </c>
      <c r="I390" s="28" t="n">
        <v>0.05</v>
      </c>
      <c r="J390" s="27" t="n">
        <v>8200</v>
      </c>
      <c r="K390" s="27">
        <f>G390*H390*(1-I390)</f>
        <v/>
      </c>
      <c r="L390" s="27">
        <f>K390-G390*J390</f>
        <v/>
      </c>
    </row>
    <row r="391">
      <c r="A391" s="25" t="inlineStr">
        <is>
          <t>ORD-10073</t>
        </is>
      </c>
      <c r="B391" s="26" t="n">
        <v>45790</v>
      </c>
      <c r="C391" s="25">
        <f>MONTH(B391)</f>
        <v/>
      </c>
      <c r="D391" s="25" t="inlineStr">
        <is>
          <t>South</t>
        </is>
      </c>
      <c r="E391" s="25" t="inlineStr">
        <is>
          <t>Furniture</t>
        </is>
      </c>
      <c r="F391" s="25" t="inlineStr">
        <is>
          <t>Office Chair</t>
        </is>
      </c>
      <c r="G391" s="25" t="n">
        <v>1</v>
      </c>
      <c r="H391" s="27" t="n">
        <v>8500</v>
      </c>
      <c r="I391" s="28" t="n">
        <v>0.05</v>
      </c>
      <c r="J391" s="27" t="n">
        <v>5600</v>
      </c>
      <c r="K391" s="27">
        <f>G391*H391*(1-I391)</f>
        <v/>
      </c>
      <c r="L391" s="27">
        <f>K391-G391*J391</f>
        <v/>
      </c>
    </row>
    <row r="392">
      <c r="A392" s="25" t="inlineStr">
        <is>
          <t>ORD-10354</t>
        </is>
      </c>
      <c r="B392" s="26" t="n">
        <v>45790</v>
      </c>
      <c r="C392" s="25">
        <f>MONTH(B392)</f>
        <v/>
      </c>
      <c r="D392" s="25" t="inlineStr">
        <is>
          <t>North</t>
        </is>
      </c>
      <c r="E392" s="25" t="inlineStr">
        <is>
          <t>Accessories</t>
        </is>
      </c>
      <c r="F392" s="25" t="inlineStr">
        <is>
          <t>USB-C Hub</t>
        </is>
      </c>
      <c r="G392" s="25" t="n">
        <v>1</v>
      </c>
      <c r="H392" s="27" t="n">
        <v>1800</v>
      </c>
      <c r="I392" s="28" t="n">
        <v>0.1</v>
      </c>
      <c r="J392" s="27" t="n">
        <v>980</v>
      </c>
      <c r="K392" s="27">
        <f>G392*H392*(1-I392)</f>
        <v/>
      </c>
      <c r="L392" s="27">
        <f>K392-G392*J392</f>
        <v/>
      </c>
    </row>
    <row r="393">
      <c r="A393" s="25" t="inlineStr">
        <is>
          <t>ORD-10464</t>
        </is>
      </c>
      <c r="B393" s="26" t="n">
        <v>45790</v>
      </c>
      <c r="C393" s="25">
        <f>MONTH(B393)</f>
        <v/>
      </c>
      <c r="D393" s="25" t="inlineStr">
        <is>
          <t>South</t>
        </is>
      </c>
      <c r="E393" s="25" t="inlineStr">
        <is>
          <t>Office Supplies</t>
        </is>
      </c>
      <c r="F393" s="25" t="inlineStr">
        <is>
          <t>Printer Paper Box</t>
        </is>
      </c>
      <c r="G393" s="25" t="n">
        <v>6</v>
      </c>
      <c r="H393" s="27" t="n">
        <v>1600</v>
      </c>
      <c r="I393" s="28" t="n">
        <v>0.2</v>
      </c>
      <c r="J393" s="27" t="n">
        <v>1050</v>
      </c>
      <c r="K393" s="27">
        <f>G393*H393*(1-I393)</f>
        <v/>
      </c>
      <c r="L393" s="27">
        <f>K393-G393*J393</f>
        <v/>
      </c>
    </row>
    <row r="394">
      <c r="A394" s="25" t="inlineStr">
        <is>
          <t>ORD-10719</t>
        </is>
      </c>
      <c r="B394" s="26" t="n">
        <v>45790</v>
      </c>
      <c r="C394" s="25">
        <f>MONTH(B394)</f>
        <v/>
      </c>
      <c r="D394" s="25" t="inlineStr">
        <is>
          <t>South</t>
        </is>
      </c>
      <c r="E394" s="25" t="inlineStr">
        <is>
          <t>Office Supplies</t>
        </is>
      </c>
      <c r="F394" s="25" t="inlineStr">
        <is>
          <t>Desk Organizer</t>
        </is>
      </c>
      <c r="G394" s="25" t="n">
        <v>5</v>
      </c>
      <c r="H394" s="27" t="n">
        <v>850</v>
      </c>
      <c r="I394" s="28" t="n">
        <v>0.2</v>
      </c>
      <c r="J394" s="27" t="n">
        <v>420</v>
      </c>
      <c r="K394" s="27">
        <f>G394*H394*(1-I394)</f>
        <v/>
      </c>
      <c r="L394" s="27">
        <f>K394-G394*J394</f>
        <v/>
      </c>
    </row>
    <row r="395">
      <c r="A395" s="25" t="inlineStr">
        <is>
          <t>ORD-10940</t>
        </is>
      </c>
      <c r="B395" s="26" t="n">
        <v>45790</v>
      </c>
      <c r="C395" s="25">
        <f>MONTH(B395)</f>
        <v/>
      </c>
      <c r="D395" s="25" t="inlineStr">
        <is>
          <t>West</t>
        </is>
      </c>
      <c r="E395" s="25" t="inlineStr">
        <is>
          <t>Office Supplies</t>
        </is>
      </c>
      <c r="F395" s="25" t="inlineStr">
        <is>
          <t>Printer Paper Box</t>
        </is>
      </c>
      <c r="G395" s="25" t="n">
        <v>1</v>
      </c>
      <c r="H395" s="27" t="n">
        <v>1600</v>
      </c>
      <c r="I395" s="28" t="n">
        <v>0</v>
      </c>
      <c r="J395" s="27" t="n">
        <v>1050</v>
      </c>
      <c r="K395" s="27">
        <f>G395*H395*(1-I395)</f>
        <v/>
      </c>
      <c r="L395" s="27">
        <f>K395-G395*J395</f>
        <v/>
      </c>
    </row>
    <row r="396">
      <c r="A396" s="25" t="inlineStr">
        <is>
          <t>ORD-11104</t>
        </is>
      </c>
      <c r="B396" s="26" t="n">
        <v>45790</v>
      </c>
      <c r="C396" s="25">
        <f>MONTH(B396)</f>
        <v/>
      </c>
      <c r="D396" s="25" t="inlineStr">
        <is>
          <t>South</t>
        </is>
      </c>
      <c r="E396" s="25" t="inlineStr">
        <is>
          <t>Accessories</t>
        </is>
      </c>
      <c r="F396" s="25" t="inlineStr">
        <is>
          <t>Webcam</t>
        </is>
      </c>
      <c r="G396" s="25" t="n">
        <v>3</v>
      </c>
      <c r="H396" s="27" t="n">
        <v>3200</v>
      </c>
      <c r="I396" s="28" t="n">
        <v>0</v>
      </c>
      <c r="J396" s="27" t="n">
        <v>1900</v>
      </c>
      <c r="K396" s="27">
        <f>G396*H396*(1-I396)</f>
        <v/>
      </c>
      <c r="L396" s="27">
        <f>K396-G396*J396</f>
        <v/>
      </c>
    </row>
    <row r="397">
      <c r="A397" s="25" t="inlineStr">
        <is>
          <t>ORD-10033</t>
        </is>
      </c>
      <c r="B397" s="26" t="n">
        <v>45791</v>
      </c>
      <c r="C397" s="25">
        <f>MONTH(B397)</f>
        <v/>
      </c>
      <c r="D397" s="25" t="inlineStr">
        <is>
          <t>North</t>
        </is>
      </c>
      <c r="E397" s="25" t="inlineStr">
        <is>
          <t>Office Supplies</t>
        </is>
      </c>
      <c r="F397" s="25" t="inlineStr">
        <is>
          <t>Printer Paper Box</t>
        </is>
      </c>
      <c r="G397" s="25" t="n">
        <v>2</v>
      </c>
      <c r="H397" s="27" t="n">
        <v>1600</v>
      </c>
      <c r="I397" s="28" t="n">
        <v>0.2</v>
      </c>
      <c r="J397" s="27" t="n">
        <v>1050</v>
      </c>
      <c r="K397" s="27">
        <f>G397*H397*(1-I397)</f>
        <v/>
      </c>
      <c r="L397" s="27">
        <f>K397-G397*J397</f>
        <v/>
      </c>
    </row>
    <row r="398">
      <c r="A398" s="25" t="inlineStr">
        <is>
          <t>ORD-10595</t>
        </is>
      </c>
      <c r="B398" s="26" t="n">
        <v>45791</v>
      </c>
      <c r="C398" s="25">
        <f>MONTH(B398)</f>
        <v/>
      </c>
      <c r="D398" s="25" t="inlineStr">
        <is>
          <t>North</t>
        </is>
      </c>
      <c r="E398" s="25" t="inlineStr">
        <is>
          <t>Office Supplies</t>
        </is>
      </c>
      <c r="F398" s="25" t="inlineStr">
        <is>
          <t>Desk Organizer</t>
        </is>
      </c>
      <c r="G398" s="25" t="n">
        <v>5</v>
      </c>
      <c r="H398" s="27" t="n">
        <v>850</v>
      </c>
      <c r="I398" s="28" t="n">
        <v>0.2</v>
      </c>
      <c r="J398" s="27" t="n">
        <v>420</v>
      </c>
      <c r="K398" s="27">
        <f>G398*H398*(1-I398)</f>
        <v/>
      </c>
      <c r="L398" s="27">
        <f>K398-G398*J398</f>
        <v/>
      </c>
    </row>
    <row r="399">
      <c r="A399" s="25" t="inlineStr">
        <is>
          <t>ORD-11185</t>
        </is>
      </c>
      <c r="B399" s="26" t="n">
        <v>45791</v>
      </c>
      <c r="C399" s="25">
        <f>MONTH(B399)</f>
        <v/>
      </c>
      <c r="D399" s="25" t="inlineStr">
        <is>
          <t>North</t>
        </is>
      </c>
      <c r="E399" s="25" t="inlineStr">
        <is>
          <t>Office Supplies</t>
        </is>
      </c>
      <c r="F399" s="25" t="inlineStr">
        <is>
          <t>Desk Organizer</t>
        </is>
      </c>
      <c r="G399" s="25" t="n">
        <v>5</v>
      </c>
      <c r="H399" s="27" t="n">
        <v>850</v>
      </c>
      <c r="I399" s="28" t="n">
        <v>0.2</v>
      </c>
      <c r="J399" s="27" t="n">
        <v>420</v>
      </c>
      <c r="K399" s="27">
        <f>G399*H399*(1-I399)</f>
        <v/>
      </c>
      <c r="L399" s="27">
        <f>K399-G399*J399</f>
        <v/>
      </c>
    </row>
    <row r="400">
      <c r="A400" s="25" t="inlineStr">
        <is>
          <t>ORD-10209</t>
        </is>
      </c>
      <c r="B400" s="26" t="n">
        <v>45792</v>
      </c>
      <c r="C400" s="25">
        <f>MONTH(B400)</f>
        <v/>
      </c>
      <c r="D400" s="25" t="inlineStr">
        <is>
          <t>East</t>
        </is>
      </c>
      <c r="E400" s="25" t="inlineStr">
        <is>
          <t>Technology</t>
        </is>
      </c>
      <c r="F400" s="25" t="inlineStr">
        <is>
          <t>Mechanical Keyboard</t>
        </is>
      </c>
      <c r="G400" s="25" t="n">
        <v>3</v>
      </c>
      <c r="H400" s="27" t="n">
        <v>4200</v>
      </c>
      <c r="I400" s="28" t="n">
        <v>0.05</v>
      </c>
      <c r="J400" s="27" t="n">
        <v>2500</v>
      </c>
      <c r="K400" s="27">
        <f>G400*H400*(1-I400)</f>
        <v/>
      </c>
      <c r="L400" s="27">
        <f>K400-G400*J400</f>
        <v/>
      </c>
    </row>
    <row r="401">
      <c r="A401" s="25" t="inlineStr">
        <is>
          <t>ORD-11189</t>
        </is>
      </c>
      <c r="B401" s="26" t="n">
        <v>45792</v>
      </c>
      <c r="C401" s="25">
        <f>MONTH(B401)</f>
        <v/>
      </c>
      <c r="D401" s="25" t="inlineStr">
        <is>
          <t>North</t>
        </is>
      </c>
      <c r="E401" s="25" t="inlineStr">
        <is>
          <t>Accessories</t>
        </is>
      </c>
      <c r="F401" s="25" t="inlineStr">
        <is>
          <t>USB-C Hub</t>
        </is>
      </c>
      <c r="G401" s="25" t="n">
        <v>2</v>
      </c>
      <c r="H401" s="27" t="n">
        <v>1800</v>
      </c>
      <c r="I401" s="28" t="n">
        <v>0</v>
      </c>
      <c r="J401" s="27" t="n">
        <v>980</v>
      </c>
      <c r="K401" s="27">
        <f>G401*H401*(1-I401)</f>
        <v/>
      </c>
      <c r="L401" s="27">
        <f>K401-G401*J401</f>
        <v/>
      </c>
    </row>
    <row r="402">
      <c r="A402" s="25" t="inlineStr">
        <is>
          <t>ORD-10024</t>
        </is>
      </c>
      <c r="B402" s="26" t="n">
        <v>45793</v>
      </c>
      <c r="C402" s="25">
        <f>MONTH(B402)</f>
        <v/>
      </c>
      <c r="D402" s="25" t="inlineStr">
        <is>
          <t>North</t>
        </is>
      </c>
      <c r="E402" s="25" t="inlineStr">
        <is>
          <t>Office Supplies</t>
        </is>
      </c>
      <c r="F402" s="25" t="inlineStr">
        <is>
          <t>Notebook Set</t>
        </is>
      </c>
      <c r="G402" s="25" t="n">
        <v>7</v>
      </c>
      <c r="H402" s="27" t="n">
        <v>450</v>
      </c>
      <c r="I402" s="28" t="n">
        <v>0.2</v>
      </c>
      <c r="J402" s="27" t="n">
        <v>190</v>
      </c>
      <c r="K402" s="27">
        <f>G402*H402*(1-I402)</f>
        <v/>
      </c>
      <c r="L402" s="27">
        <f>K402-G402*J402</f>
        <v/>
      </c>
    </row>
    <row r="403">
      <c r="A403" s="25" t="inlineStr">
        <is>
          <t>ORD-10042</t>
        </is>
      </c>
      <c r="B403" s="26" t="n">
        <v>45793</v>
      </c>
      <c r="C403" s="25">
        <f>MONTH(B403)</f>
        <v/>
      </c>
      <c r="D403" s="25" t="inlineStr">
        <is>
          <t>South</t>
        </is>
      </c>
      <c r="E403" s="25" t="inlineStr">
        <is>
          <t>Furniture</t>
        </is>
      </c>
      <c r="F403" s="25" t="inlineStr">
        <is>
          <t>Standing Desk</t>
        </is>
      </c>
      <c r="G403" s="25" t="n">
        <v>1</v>
      </c>
      <c r="H403" s="27" t="n">
        <v>19500</v>
      </c>
      <c r="I403" s="28" t="n">
        <v>0.05</v>
      </c>
      <c r="J403" s="27" t="n">
        <v>13800</v>
      </c>
      <c r="K403" s="27">
        <f>G403*H403*(1-I403)</f>
        <v/>
      </c>
      <c r="L403" s="27">
        <f>K403-G403*J403</f>
        <v/>
      </c>
    </row>
    <row r="404">
      <c r="A404" s="25" t="inlineStr">
        <is>
          <t>ORD-10052</t>
        </is>
      </c>
      <c r="B404" s="26" t="n">
        <v>45793</v>
      </c>
      <c r="C404" s="25">
        <f>MONTH(B404)</f>
        <v/>
      </c>
      <c r="D404" s="25" t="inlineStr">
        <is>
          <t>North</t>
        </is>
      </c>
      <c r="E404" s="25" t="inlineStr">
        <is>
          <t>Office Supplies</t>
        </is>
      </c>
      <c r="F404" s="25" t="inlineStr">
        <is>
          <t>Notebook Set</t>
        </is>
      </c>
      <c r="G404" s="25" t="n">
        <v>7</v>
      </c>
      <c r="H404" s="27" t="n">
        <v>450</v>
      </c>
      <c r="I404" s="28" t="n">
        <v>0</v>
      </c>
      <c r="J404" s="27" t="n">
        <v>190</v>
      </c>
      <c r="K404" s="27">
        <f>G404*H404*(1-I404)</f>
        <v/>
      </c>
      <c r="L404" s="27">
        <f>K404-G404*J404</f>
        <v/>
      </c>
    </row>
    <row r="405">
      <c r="A405" s="25" t="inlineStr">
        <is>
          <t>ORD-10483</t>
        </is>
      </c>
      <c r="B405" s="26" t="n">
        <v>45793</v>
      </c>
      <c r="C405" s="25">
        <f>MONTH(B405)</f>
        <v/>
      </c>
      <c r="D405" s="25" t="inlineStr">
        <is>
          <t>South</t>
        </is>
      </c>
      <c r="E405" s="25" t="inlineStr">
        <is>
          <t>Technology</t>
        </is>
      </c>
      <c r="F405" s="25" t="inlineStr">
        <is>
          <t>Monitor 24"</t>
        </is>
      </c>
      <c r="G405" s="25" t="n">
        <v>2</v>
      </c>
      <c r="H405" s="27" t="n">
        <v>11500</v>
      </c>
      <c r="I405" s="28" t="n">
        <v>0</v>
      </c>
      <c r="J405" s="27" t="n">
        <v>8200</v>
      </c>
      <c r="K405" s="27">
        <f>G405*H405*(1-I405)</f>
        <v/>
      </c>
      <c r="L405" s="27">
        <f>K405-G405*J405</f>
        <v/>
      </c>
    </row>
    <row r="406">
      <c r="A406" s="25" t="inlineStr">
        <is>
          <t>ORD-10536</t>
        </is>
      </c>
      <c r="B406" s="26" t="n">
        <v>45793</v>
      </c>
      <c r="C406" s="25">
        <f>MONTH(B406)</f>
        <v/>
      </c>
      <c r="D406" s="25" t="inlineStr">
        <is>
          <t>North</t>
        </is>
      </c>
      <c r="E406" s="25" t="inlineStr">
        <is>
          <t>Technology</t>
        </is>
      </c>
      <c r="F406" s="25" t="inlineStr">
        <is>
          <t>Wireless Mouse</t>
        </is>
      </c>
      <c r="G406" s="25" t="n">
        <v>1</v>
      </c>
      <c r="H406" s="27" t="n">
        <v>1200</v>
      </c>
      <c r="I406" s="28" t="n">
        <v>0</v>
      </c>
      <c r="J406" s="27" t="n">
        <v>650</v>
      </c>
      <c r="K406" s="27">
        <f>G406*H406*(1-I406)</f>
        <v/>
      </c>
      <c r="L406" s="27">
        <f>K406-G406*J406</f>
        <v/>
      </c>
    </row>
    <row r="407">
      <c r="A407" s="25" t="inlineStr">
        <is>
          <t>ORD-10707</t>
        </is>
      </c>
      <c r="B407" s="26" t="n">
        <v>45793</v>
      </c>
      <c r="C407" s="25">
        <f>MONTH(B407)</f>
        <v/>
      </c>
      <c r="D407" s="25" t="inlineStr">
        <is>
          <t>East</t>
        </is>
      </c>
      <c r="E407" s="25" t="inlineStr">
        <is>
          <t>Furniture</t>
        </is>
      </c>
      <c r="F407" s="25" t="inlineStr">
        <is>
          <t>Office Chair</t>
        </is>
      </c>
      <c r="G407" s="25" t="n">
        <v>2</v>
      </c>
      <c r="H407" s="27" t="n">
        <v>8500</v>
      </c>
      <c r="I407" s="28" t="n">
        <v>0.15</v>
      </c>
      <c r="J407" s="27" t="n">
        <v>5600</v>
      </c>
      <c r="K407" s="27">
        <f>G407*H407*(1-I407)</f>
        <v/>
      </c>
      <c r="L407" s="27">
        <f>K407-G407*J407</f>
        <v/>
      </c>
    </row>
    <row r="408">
      <c r="A408" s="25" t="inlineStr">
        <is>
          <t>ORD-10926</t>
        </is>
      </c>
      <c r="B408" s="26" t="n">
        <v>45793</v>
      </c>
      <c r="C408" s="25">
        <f>MONTH(B408)</f>
        <v/>
      </c>
      <c r="D408" s="25" t="inlineStr">
        <is>
          <t>North</t>
        </is>
      </c>
      <c r="E408" s="25" t="inlineStr">
        <is>
          <t>Accessories</t>
        </is>
      </c>
      <c r="F408" s="25" t="inlineStr">
        <is>
          <t>USB-C Hub</t>
        </is>
      </c>
      <c r="G408" s="25" t="n">
        <v>1</v>
      </c>
      <c r="H408" s="27" t="n">
        <v>1800</v>
      </c>
      <c r="I408" s="28" t="n">
        <v>0</v>
      </c>
      <c r="J408" s="27" t="n">
        <v>980</v>
      </c>
      <c r="K408" s="27">
        <f>G408*H408*(1-I408)</f>
        <v/>
      </c>
      <c r="L408" s="27">
        <f>K408-G408*J408</f>
        <v/>
      </c>
    </row>
    <row r="409">
      <c r="A409" s="25" t="inlineStr">
        <is>
          <t>ORD-10234</t>
        </is>
      </c>
      <c r="B409" s="26" t="n">
        <v>45794</v>
      </c>
      <c r="C409" s="25">
        <f>MONTH(B409)</f>
        <v/>
      </c>
      <c r="D409" s="25" t="inlineStr">
        <is>
          <t>West</t>
        </is>
      </c>
      <c r="E409" s="25" t="inlineStr">
        <is>
          <t>Accessories</t>
        </is>
      </c>
      <c r="F409" s="25" t="inlineStr">
        <is>
          <t>Webcam</t>
        </is>
      </c>
      <c r="G409" s="25" t="n">
        <v>3</v>
      </c>
      <c r="H409" s="27" t="n">
        <v>3200</v>
      </c>
      <c r="I409" s="28" t="n">
        <v>0</v>
      </c>
      <c r="J409" s="27" t="n">
        <v>1900</v>
      </c>
      <c r="K409" s="27">
        <f>G409*H409*(1-I409)</f>
        <v/>
      </c>
      <c r="L409" s="27">
        <f>K409-G409*J409</f>
        <v/>
      </c>
    </row>
    <row r="410">
      <c r="A410" s="25" t="inlineStr">
        <is>
          <t>ORD-10329</t>
        </is>
      </c>
      <c r="B410" s="26" t="n">
        <v>45794</v>
      </c>
      <c r="C410" s="25">
        <f>MONTH(B410)</f>
        <v/>
      </c>
      <c r="D410" s="25" t="inlineStr">
        <is>
          <t>East</t>
        </is>
      </c>
      <c r="E410" s="25" t="inlineStr">
        <is>
          <t>Technology</t>
        </is>
      </c>
      <c r="F410" s="25" t="inlineStr">
        <is>
          <t>Monitor 24"</t>
        </is>
      </c>
      <c r="G410" s="25" t="n">
        <v>1</v>
      </c>
      <c r="H410" s="27" t="n">
        <v>11500</v>
      </c>
      <c r="I410" s="28" t="n">
        <v>0</v>
      </c>
      <c r="J410" s="27" t="n">
        <v>8200</v>
      </c>
      <c r="K410" s="27">
        <f>G410*H410*(1-I410)</f>
        <v/>
      </c>
      <c r="L410" s="27">
        <f>K410-G410*J410</f>
        <v/>
      </c>
    </row>
    <row r="411">
      <c r="A411" s="25" t="inlineStr">
        <is>
          <t>ORD-10519</t>
        </is>
      </c>
      <c r="B411" s="26" t="n">
        <v>45794</v>
      </c>
      <c r="C411" s="25">
        <f>MONTH(B411)</f>
        <v/>
      </c>
      <c r="D411" s="25" t="inlineStr">
        <is>
          <t>West</t>
        </is>
      </c>
      <c r="E411" s="25" t="inlineStr">
        <is>
          <t>Office Supplies</t>
        </is>
      </c>
      <c r="F411" s="25" t="inlineStr">
        <is>
          <t>Desk Organizer</t>
        </is>
      </c>
      <c r="G411" s="25" t="n">
        <v>2</v>
      </c>
      <c r="H411" s="27" t="n">
        <v>850</v>
      </c>
      <c r="I411" s="28" t="n">
        <v>0.1</v>
      </c>
      <c r="J411" s="27" t="n">
        <v>420</v>
      </c>
      <c r="K411" s="27">
        <f>G411*H411*(1-I411)</f>
        <v/>
      </c>
      <c r="L411" s="27">
        <f>K411-G411*J411</f>
        <v/>
      </c>
    </row>
    <row r="412">
      <c r="A412" s="25" t="inlineStr">
        <is>
          <t>ORD-10206</t>
        </is>
      </c>
      <c r="B412" s="26" t="n">
        <v>45795</v>
      </c>
      <c r="C412" s="25">
        <f>MONTH(B412)</f>
        <v/>
      </c>
      <c r="D412" s="25" t="inlineStr">
        <is>
          <t>West</t>
        </is>
      </c>
      <c r="E412" s="25" t="inlineStr">
        <is>
          <t>Accessories</t>
        </is>
      </c>
      <c r="F412" s="25" t="inlineStr">
        <is>
          <t>Headphones</t>
        </is>
      </c>
      <c r="G412" s="25" t="n">
        <v>1</v>
      </c>
      <c r="H412" s="27" t="n">
        <v>4500</v>
      </c>
      <c r="I412" s="28" t="n">
        <v>0</v>
      </c>
      <c r="J412" s="27" t="n">
        <v>2600</v>
      </c>
      <c r="K412" s="27">
        <f>G412*H412*(1-I412)</f>
        <v/>
      </c>
      <c r="L412" s="27">
        <f>K412-G412*J412</f>
        <v/>
      </c>
    </row>
    <row r="413">
      <c r="A413" s="25" t="inlineStr">
        <is>
          <t>ORD-10145</t>
        </is>
      </c>
      <c r="B413" s="26" t="n">
        <v>45796</v>
      </c>
      <c r="C413" s="25">
        <f>MONTH(B413)</f>
        <v/>
      </c>
      <c r="D413" s="25" t="inlineStr">
        <is>
          <t>North</t>
        </is>
      </c>
      <c r="E413" s="25" t="inlineStr">
        <is>
          <t>Office Supplies</t>
        </is>
      </c>
      <c r="F413" s="25" t="inlineStr">
        <is>
          <t>Printer Paper Box</t>
        </is>
      </c>
      <c r="G413" s="25" t="n">
        <v>5</v>
      </c>
      <c r="H413" s="27" t="n">
        <v>1600</v>
      </c>
      <c r="I413" s="28" t="n">
        <v>0</v>
      </c>
      <c r="J413" s="27" t="n">
        <v>1050</v>
      </c>
      <c r="K413" s="27">
        <f>G413*H413*(1-I413)</f>
        <v/>
      </c>
      <c r="L413" s="27">
        <f>K413-G413*J413</f>
        <v/>
      </c>
    </row>
    <row r="414">
      <c r="A414" s="25" t="inlineStr">
        <is>
          <t>ORD-10198</t>
        </is>
      </c>
      <c r="B414" s="26" t="n">
        <v>45796</v>
      </c>
      <c r="C414" s="25">
        <f>MONTH(B414)</f>
        <v/>
      </c>
      <c r="D414" s="25" t="inlineStr">
        <is>
          <t>East</t>
        </is>
      </c>
      <c r="E414" s="25" t="inlineStr">
        <is>
          <t>Accessories</t>
        </is>
      </c>
      <c r="F414" s="25" t="inlineStr">
        <is>
          <t>Headphones</t>
        </is>
      </c>
      <c r="G414" s="25" t="n">
        <v>2</v>
      </c>
      <c r="H414" s="27" t="n">
        <v>4500</v>
      </c>
      <c r="I414" s="28" t="n">
        <v>0.05</v>
      </c>
      <c r="J414" s="27" t="n">
        <v>2600</v>
      </c>
      <c r="K414" s="27">
        <f>G414*H414*(1-I414)</f>
        <v/>
      </c>
      <c r="L414" s="27">
        <f>K414-G414*J414</f>
        <v/>
      </c>
    </row>
    <row r="415">
      <c r="A415" s="25" t="inlineStr">
        <is>
          <t>ORD-10449</t>
        </is>
      </c>
      <c r="B415" s="26" t="n">
        <v>45796</v>
      </c>
      <c r="C415" s="25">
        <f>MONTH(B415)</f>
        <v/>
      </c>
      <c r="D415" s="25" t="inlineStr">
        <is>
          <t>South</t>
        </is>
      </c>
      <c r="E415" s="25" t="inlineStr">
        <is>
          <t>Accessories</t>
        </is>
      </c>
      <c r="F415" s="25" t="inlineStr">
        <is>
          <t>Webcam</t>
        </is>
      </c>
      <c r="G415" s="25" t="n">
        <v>1</v>
      </c>
      <c r="H415" s="27" t="n">
        <v>3200</v>
      </c>
      <c r="I415" s="28" t="n">
        <v>0.1</v>
      </c>
      <c r="J415" s="27" t="n">
        <v>1900</v>
      </c>
      <c r="K415" s="27">
        <f>G415*H415*(1-I415)</f>
        <v/>
      </c>
      <c r="L415" s="27">
        <f>K415-G415*J415</f>
        <v/>
      </c>
    </row>
    <row r="416">
      <c r="A416" s="25" t="inlineStr">
        <is>
          <t>ORD-10766</t>
        </is>
      </c>
      <c r="B416" s="26" t="n">
        <v>45796</v>
      </c>
      <c r="C416" s="25">
        <f>MONTH(B416)</f>
        <v/>
      </c>
      <c r="D416" s="25" t="inlineStr">
        <is>
          <t>South</t>
        </is>
      </c>
      <c r="E416" s="25" t="inlineStr">
        <is>
          <t>Office Supplies</t>
        </is>
      </c>
      <c r="F416" s="25" t="inlineStr">
        <is>
          <t>Printer Paper Box</t>
        </is>
      </c>
      <c r="G416" s="25" t="n">
        <v>1</v>
      </c>
      <c r="H416" s="27" t="n">
        <v>1600</v>
      </c>
      <c r="I416" s="28" t="n">
        <v>0</v>
      </c>
      <c r="J416" s="27" t="n">
        <v>1050</v>
      </c>
      <c r="K416" s="27">
        <f>G416*H416*(1-I416)</f>
        <v/>
      </c>
      <c r="L416" s="27">
        <f>K416-G416*J416</f>
        <v/>
      </c>
    </row>
    <row r="417">
      <c r="A417" s="25" t="inlineStr">
        <is>
          <t>ORD-10866</t>
        </is>
      </c>
      <c r="B417" s="26" t="n">
        <v>45796</v>
      </c>
      <c r="C417" s="25">
        <f>MONTH(B417)</f>
        <v/>
      </c>
      <c r="D417" s="25" t="inlineStr">
        <is>
          <t>West</t>
        </is>
      </c>
      <c r="E417" s="25" t="inlineStr">
        <is>
          <t>Office Supplies</t>
        </is>
      </c>
      <c r="F417" s="25" t="inlineStr">
        <is>
          <t>Printer Paper Box</t>
        </is>
      </c>
      <c r="G417" s="25" t="n">
        <v>6</v>
      </c>
      <c r="H417" s="27" t="n">
        <v>1600</v>
      </c>
      <c r="I417" s="28" t="n">
        <v>0</v>
      </c>
      <c r="J417" s="27" t="n">
        <v>1050</v>
      </c>
      <c r="K417" s="27">
        <f>G417*H417*(1-I417)</f>
        <v/>
      </c>
      <c r="L417" s="27">
        <f>K417-G417*J417</f>
        <v/>
      </c>
    </row>
    <row r="418">
      <c r="A418" s="25" t="inlineStr">
        <is>
          <t>ORD-10988</t>
        </is>
      </c>
      <c r="B418" s="26" t="n">
        <v>45796</v>
      </c>
      <c r="C418" s="25">
        <f>MONTH(B418)</f>
        <v/>
      </c>
      <c r="D418" s="25" t="inlineStr">
        <is>
          <t>North</t>
        </is>
      </c>
      <c r="E418" s="25" t="inlineStr">
        <is>
          <t>Accessories</t>
        </is>
      </c>
      <c r="F418" s="25" t="inlineStr">
        <is>
          <t>Headphones</t>
        </is>
      </c>
      <c r="G418" s="25" t="n">
        <v>3</v>
      </c>
      <c r="H418" s="27" t="n">
        <v>4500</v>
      </c>
      <c r="I418" s="28" t="n">
        <v>0</v>
      </c>
      <c r="J418" s="27" t="n">
        <v>2600</v>
      </c>
      <c r="K418" s="27">
        <f>G418*H418*(1-I418)</f>
        <v/>
      </c>
      <c r="L418" s="27">
        <f>K418-G418*J418</f>
        <v/>
      </c>
    </row>
    <row r="419">
      <c r="A419" s="25" t="inlineStr">
        <is>
          <t>ORD-10043</t>
        </is>
      </c>
      <c r="B419" s="26" t="n">
        <v>45797</v>
      </c>
      <c r="C419" s="25">
        <f>MONTH(B419)</f>
        <v/>
      </c>
      <c r="D419" s="25" t="inlineStr">
        <is>
          <t>West</t>
        </is>
      </c>
      <c r="E419" s="25" t="inlineStr">
        <is>
          <t>Technology</t>
        </is>
      </c>
      <c r="F419" s="25" t="inlineStr">
        <is>
          <t>Mechanical Keyboard</t>
        </is>
      </c>
      <c r="G419" s="25" t="n">
        <v>2</v>
      </c>
      <c r="H419" s="27" t="n">
        <v>4200</v>
      </c>
      <c r="I419" s="28" t="n">
        <v>0</v>
      </c>
      <c r="J419" s="27" t="n">
        <v>2500</v>
      </c>
      <c r="K419" s="27">
        <f>G419*H419*(1-I419)</f>
        <v/>
      </c>
      <c r="L419" s="27">
        <f>K419-G419*J419</f>
        <v/>
      </c>
    </row>
    <row r="420">
      <c r="A420" s="25" t="inlineStr">
        <is>
          <t>ORD-10346</t>
        </is>
      </c>
      <c r="B420" s="26" t="n">
        <v>45797</v>
      </c>
      <c r="C420" s="25">
        <f>MONTH(B420)</f>
        <v/>
      </c>
      <c r="D420" s="25" t="inlineStr">
        <is>
          <t>North</t>
        </is>
      </c>
      <c r="E420" s="25" t="inlineStr">
        <is>
          <t>Office Supplies</t>
        </is>
      </c>
      <c r="F420" s="25" t="inlineStr">
        <is>
          <t>Notebook Set</t>
        </is>
      </c>
      <c r="G420" s="25" t="n">
        <v>1</v>
      </c>
      <c r="H420" s="27" t="n">
        <v>450</v>
      </c>
      <c r="I420" s="28" t="n">
        <v>0</v>
      </c>
      <c r="J420" s="27" t="n">
        <v>190</v>
      </c>
      <c r="K420" s="27">
        <f>G420*H420*(1-I420)</f>
        <v/>
      </c>
      <c r="L420" s="27">
        <f>K420-G420*J420</f>
        <v/>
      </c>
    </row>
    <row r="421">
      <c r="A421" s="25" t="inlineStr">
        <is>
          <t>ORD-11089</t>
        </is>
      </c>
      <c r="B421" s="26" t="n">
        <v>45797</v>
      </c>
      <c r="C421" s="25">
        <f>MONTH(B421)</f>
        <v/>
      </c>
      <c r="D421" s="25" t="inlineStr">
        <is>
          <t>West</t>
        </is>
      </c>
      <c r="E421" s="25" t="inlineStr">
        <is>
          <t>Office Supplies</t>
        </is>
      </c>
      <c r="F421" s="25" t="inlineStr">
        <is>
          <t>Printer Paper Box</t>
        </is>
      </c>
      <c r="G421" s="25" t="n">
        <v>5</v>
      </c>
      <c r="H421" s="27" t="n">
        <v>1600</v>
      </c>
      <c r="I421" s="28" t="n">
        <v>0</v>
      </c>
      <c r="J421" s="27" t="n">
        <v>1050</v>
      </c>
      <c r="K421" s="27">
        <f>G421*H421*(1-I421)</f>
        <v/>
      </c>
      <c r="L421" s="27">
        <f>K421-G421*J421</f>
        <v/>
      </c>
    </row>
    <row r="422">
      <c r="A422" s="25" t="inlineStr">
        <is>
          <t>ORD-10247</t>
        </is>
      </c>
      <c r="B422" s="26" t="n">
        <v>45798</v>
      </c>
      <c r="C422" s="25">
        <f>MONTH(B422)</f>
        <v/>
      </c>
      <c r="D422" s="25" t="inlineStr">
        <is>
          <t>South</t>
        </is>
      </c>
      <c r="E422" s="25" t="inlineStr">
        <is>
          <t>Technology</t>
        </is>
      </c>
      <c r="F422" s="25" t="inlineStr">
        <is>
          <t>Wireless Mouse</t>
        </is>
      </c>
      <c r="G422" s="25" t="n">
        <v>2</v>
      </c>
      <c r="H422" s="27" t="n">
        <v>1200</v>
      </c>
      <c r="I422" s="28" t="n">
        <v>0</v>
      </c>
      <c r="J422" s="27" t="n">
        <v>650</v>
      </c>
      <c r="K422" s="27">
        <f>G422*H422*(1-I422)</f>
        <v/>
      </c>
      <c r="L422" s="27">
        <f>K422-G422*J422</f>
        <v/>
      </c>
    </row>
    <row r="423">
      <c r="A423" s="25" t="inlineStr">
        <is>
          <t>ORD-11105</t>
        </is>
      </c>
      <c r="B423" s="26" t="n">
        <v>45798</v>
      </c>
      <c r="C423" s="25">
        <f>MONTH(B423)</f>
        <v/>
      </c>
      <c r="D423" s="25" t="inlineStr">
        <is>
          <t>West</t>
        </is>
      </c>
      <c r="E423" s="25" t="inlineStr">
        <is>
          <t>Accessories</t>
        </is>
      </c>
      <c r="F423" s="25" t="inlineStr">
        <is>
          <t>Webcam</t>
        </is>
      </c>
      <c r="G423" s="25" t="n">
        <v>3</v>
      </c>
      <c r="H423" s="27" t="n">
        <v>3200</v>
      </c>
      <c r="I423" s="28" t="n">
        <v>0</v>
      </c>
      <c r="J423" s="27" t="n">
        <v>1900</v>
      </c>
      <c r="K423" s="27">
        <f>G423*H423*(1-I423)</f>
        <v/>
      </c>
      <c r="L423" s="27">
        <f>K423-G423*J423</f>
        <v/>
      </c>
    </row>
    <row r="424">
      <c r="A424" s="25" t="inlineStr">
        <is>
          <t>ORD-10194</t>
        </is>
      </c>
      <c r="B424" s="26" t="n">
        <v>45799</v>
      </c>
      <c r="C424" s="25">
        <f>MONTH(B424)</f>
        <v/>
      </c>
      <c r="D424" s="25" t="inlineStr">
        <is>
          <t>North</t>
        </is>
      </c>
      <c r="E424" s="25" t="inlineStr">
        <is>
          <t>Technology</t>
        </is>
      </c>
      <c r="F424" s="25" t="inlineStr">
        <is>
          <t>Wireless Mouse</t>
        </is>
      </c>
      <c r="G424" s="25" t="n">
        <v>1</v>
      </c>
      <c r="H424" s="27" t="n">
        <v>1200</v>
      </c>
      <c r="I424" s="28" t="n">
        <v>0</v>
      </c>
      <c r="J424" s="27" t="n">
        <v>650</v>
      </c>
      <c r="K424" s="27">
        <f>G424*H424*(1-I424)</f>
        <v/>
      </c>
      <c r="L424" s="27">
        <f>K424-G424*J424</f>
        <v/>
      </c>
    </row>
    <row r="425">
      <c r="A425" s="25" t="inlineStr">
        <is>
          <t>ORD-10522</t>
        </is>
      </c>
      <c r="B425" s="26" t="n">
        <v>45799</v>
      </c>
      <c r="C425" s="25">
        <f>MONTH(B425)</f>
        <v/>
      </c>
      <c r="D425" s="25" t="inlineStr">
        <is>
          <t>East</t>
        </is>
      </c>
      <c r="E425" s="25" t="inlineStr">
        <is>
          <t>Office Supplies</t>
        </is>
      </c>
      <c r="F425" s="25" t="inlineStr">
        <is>
          <t>Printer Paper Box</t>
        </is>
      </c>
      <c r="G425" s="25" t="n">
        <v>6</v>
      </c>
      <c r="H425" s="27" t="n">
        <v>1600</v>
      </c>
      <c r="I425" s="28" t="n">
        <v>0.05</v>
      </c>
      <c r="J425" s="27" t="n">
        <v>1050</v>
      </c>
      <c r="K425" s="27">
        <f>G425*H425*(1-I425)</f>
        <v/>
      </c>
      <c r="L425" s="27">
        <f>K425-G425*J425</f>
        <v/>
      </c>
    </row>
    <row r="426">
      <c r="A426" s="25" t="inlineStr">
        <is>
          <t>ORD-10605</t>
        </is>
      </c>
      <c r="B426" s="26" t="n">
        <v>45799</v>
      </c>
      <c r="C426" s="25">
        <f>MONTH(B426)</f>
        <v/>
      </c>
      <c r="D426" s="25" t="inlineStr">
        <is>
          <t>West</t>
        </is>
      </c>
      <c r="E426" s="25" t="inlineStr">
        <is>
          <t>Accessories</t>
        </is>
      </c>
      <c r="F426" s="25" t="inlineStr">
        <is>
          <t>Headphones</t>
        </is>
      </c>
      <c r="G426" s="25" t="n">
        <v>3</v>
      </c>
      <c r="H426" s="27" t="n">
        <v>4500</v>
      </c>
      <c r="I426" s="28" t="n">
        <v>0</v>
      </c>
      <c r="J426" s="27" t="n">
        <v>2600</v>
      </c>
      <c r="K426" s="27">
        <f>G426*H426*(1-I426)</f>
        <v/>
      </c>
      <c r="L426" s="27">
        <f>K426-G426*J426</f>
        <v/>
      </c>
    </row>
    <row r="427">
      <c r="A427" s="25" t="inlineStr">
        <is>
          <t>ORD-10385</t>
        </is>
      </c>
      <c r="B427" s="26" t="n">
        <v>45800</v>
      </c>
      <c r="C427" s="25">
        <f>MONTH(B427)</f>
        <v/>
      </c>
      <c r="D427" s="25" t="inlineStr">
        <is>
          <t>East</t>
        </is>
      </c>
      <c r="E427" s="25" t="inlineStr">
        <is>
          <t>Accessories</t>
        </is>
      </c>
      <c r="F427" s="25" t="inlineStr">
        <is>
          <t>USB-C Hub</t>
        </is>
      </c>
      <c r="G427" s="25" t="n">
        <v>1</v>
      </c>
      <c r="H427" s="27" t="n">
        <v>1800</v>
      </c>
      <c r="I427" s="28" t="n">
        <v>0.05</v>
      </c>
      <c r="J427" s="27" t="n">
        <v>980</v>
      </c>
      <c r="K427" s="27">
        <f>G427*H427*(1-I427)</f>
        <v/>
      </c>
      <c r="L427" s="27">
        <f>K427-G427*J427</f>
        <v/>
      </c>
    </row>
    <row r="428">
      <c r="A428" s="25" t="inlineStr">
        <is>
          <t>ORD-10459</t>
        </is>
      </c>
      <c r="B428" s="26" t="n">
        <v>45800</v>
      </c>
      <c r="C428" s="25">
        <f>MONTH(B428)</f>
        <v/>
      </c>
      <c r="D428" s="25" t="inlineStr">
        <is>
          <t>West</t>
        </is>
      </c>
      <c r="E428" s="25" t="inlineStr">
        <is>
          <t>Accessories</t>
        </is>
      </c>
      <c r="F428" s="25" t="inlineStr">
        <is>
          <t>Headphones</t>
        </is>
      </c>
      <c r="G428" s="25" t="n">
        <v>3</v>
      </c>
      <c r="H428" s="27" t="n">
        <v>4500</v>
      </c>
      <c r="I428" s="28" t="n">
        <v>0</v>
      </c>
      <c r="J428" s="27" t="n">
        <v>2600</v>
      </c>
      <c r="K428" s="27">
        <f>G428*H428*(1-I428)</f>
        <v/>
      </c>
      <c r="L428" s="27">
        <f>K428-G428*J428</f>
        <v/>
      </c>
    </row>
    <row r="429">
      <c r="A429" s="25" t="inlineStr">
        <is>
          <t>ORD-10698</t>
        </is>
      </c>
      <c r="B429" s="26" t="n">
        <v>45801</v>
      </c>
      <c r="C429" s="25">
        <f>MONTH(B429)</f>
        <v/>
      </c>
      <c r="D429" s="25" t="inlineStr">
        <is>
          <t>East</t>
        </is>
      </c>
      <c r="E429" s="25" t="inlineStr">
        <is>
          <t>Accessories</t>
        </is>
      </c>
      <c r="F429" s="25" t="inlineStr">
        <is>
          <t>USB-C Hub</t>
        </is>
      </c>
      <c r="G429" s="25" t="n">
        <v>2</v>
      </c>
      <c r="H429" s="27" t="n">
        <v>1800</v>
      </c>
      <c r="I429" s="28" t="n">
        <v>0</v>
      </c>
      <c r="J429" s="27" t="n">
        <v>980</v>
      </c>
      <c r="K429" s="27">
        <f>G429*H429*(1-I429)</f>
        <v/>
      </c>
      <c r="L429" s="27">
        <f>K429-G429*J429</f>
        <v/>
      </c>
    </row>
    <row r="430">
      <c r="A430" s="25" t="inlineStr">
        <is>
          <t>ORD-10955</t>
        </is>
      </c>
      <c r="B430" s="26" t="n">
        <v>45801</v>
      </c>
      <c r="C430" s="25">
        <f>MONTH(B430)</f>
        <v/>
      </c>
      <c r="D430" s="25" t="inlineStr">
        <is>
          <t>West</t>
        </is>
      </c>
      <c r="E430" s="25" t="inlineStr">
        <is>
          <t>Technology</t>
        </is>
      </c>
      <c r="F430" s="25" t="inlineStr">
        <is>
          <t>Wireless Mouse</t>
        </is>
      </c>
      <c r="G430" s="25" t="n">
        <v>1</v>
      </c>
      <c r="H430" s="27" t="n">
        <v>1200</v>
      </c>
      <c r="I430" s="28" t="n">
        <v>0.2</v>
      </c>
      <c r="J430" s="27" t="n">
        <v>650</v>
      </c>
      <c r="K430" s="27">
        <f>G430*H430*(1-I430)</f>
        <v/>
      </c>
      <c r="L430" s="27">
        <f>K430-G430*J430</f>
        <v/>
      </c>
    </row>
    <row r="431">
      <c r="A431" s="25" t="inlineStr">
        <is>
          <t>ORD-11076</t>
        </is>
      </c>
      <c r="B431" s="26" t="n">
        <v>45801</v>
      </c>
      <c r="C431" s="25">
        <f>MONTH(B431)</f>
        <v/>
      </c>
      <c r="D431" s="25" t="inlineStr">
        <is>
          <t>South</t>
        </is>
      </c>
      <c r="E431" s="25" t="inlineStr">
        <is>
          <t>Technology</t>
        </is>
      </c>
      <c r="F431" s="25" t="inlineStr">
        <is>
          <t>Wireless Mouse</t>
        </is>
      </c>
      <c r="G431" s="25" t="n">
        <v>5</v>
      </c>
      <c r="H431" s="27" t="n">
        <v>1200</v>
      </c>
      <c r="I431" s="28" t="n">
        <v>0</v>
      </c>
      <c r="J431" s="27" t="n">
        <v>650</v>
      </c>
      <c r="K431" s="27">
        <f>G431*H431*(1-I431)</f>
        <v/>
      </c>
      <c r="L431" s="27">
        <f>K431-G431*J431</f>
        <v/>
      </c>
    </row>
    <row r="432">
      <c r="A432" s="25" t="inlineStr">
        <is>
          <t>ORD-10119</t>
        </is>
      </c>
      <c r="B432" s="26" t="n">
        <v>45802</v>
      </c>
      <c r="C432" s="25">
        <f>MONTH(B432)</f>
        <v/>
      </c>
      <c r="D432" s="25" t="inlineStr">
        <is>
          <t>North</t>
        </is>
      </c>
      <c r="E432" s="25" t="inlineStr">
        <is>
          <t>Furniture</t>
        </is>
      </c>
      <c r="F432" s="25" t="inlineStr">
        <is>
          <t>Office Chair</t>
        </is>
      </c>
      <c r="G432" s="25" t="n">
        <v>1</v>
      </c>
      <c r="H432" s="27" t="n">
        <v>8500</v>
      </c>
      <c r="I432" s="28" t="n">
        <v>0.05</v>
      </c>
      <c r="J432" s="27" t="n">
        <v>5600</v>
      </c>
      <c r="K432" s="27">
        <f>G432*H432*(1-I432)</f>
        <v/>
      </c>
      <c r="L432" s="27">
        <f>K432-G432*J432</f>
        <v/>
      </c>
    </row>
    <row r="433">
      <c r="A433" s="25" t="inlineStr">
        <is>
          <t>ORD-10799</t>
        </is>
      </c>
      <c r="B433" s="26" t="n">
        <v>45802</v>
      </c>
      <c r="C433" s="25">
        <f>MONTH(B433)</f>
        <v/>
      </c>
      <c r="D433" s="25" t="inlineStr">
        <is>
          <t>North</t>
        </is>
      </c>
      <c r="E433" s="25" t="inlineStr">
        <is>
          <t>Furniture</t>
        </is>
      </c>
      <c r="F433" s="25" t="inlineStr">
        <is>
          <t>Standing Desk</t>
        </is>
      </c>
      <c r="G433" s="25" t="n">
        <v>1</v>
      </c>
      <c r="H433" s="27" t="n">
        <v>19500</v>
      </c>
      <c r="I433" s="28" t="n">
        <v>0</v>
      </c>
      <c r="J433" s="27" t="n">
        <v>13800</v>
      </c>
      <c r="K433" s="27">
        <f>G433*H433*(1-I433)</f>
        <v/>
      </c>
      <c r="L433" s="27">
        <f>K433-G433*J433</f>
        <v/>
      </c>
    </row>
    <row r="434">
      <c r="A434" s="25" t="inlineStr">
        <is>
          <t>ORD-10975</t>
        </is>
      </c>
      <c r="B434" s="26" t="n">
        <v>45802</v>
      </c>
      <c r="C434" s="25">
        <f>MONTH(B434)</f>
        <v/>
      </c>
      <c r="D434" s="25" t="inlineStr">
        <is>
          <t>East</t>
        </is>
      </c>
      <c r="E434" s="25" t="inlineStr">
        <is>
          <t>Office Supplies</t>
        </is>
      </c>
      <c r="F434" s="25" t="inlineStr">
        <is>
          <t>Notebook Set</t>
        </is>
      </c>
      <c r="G434" s="25" t="n">
        <v>2</v>
      </c>
      <c r="H434" s="27" t="n">
        <v>450</v>
      </c>
      <c r="I434" s="28" t="n">
        <v>0</v>
      </c>
      <c r="J434" s="27" t="n">
        <v>190</v>
      </c>
      <c r="K434" s="27">
        <f>G434*H434*(1-I434)</f>
        <v/>
      </c>
      <c r="L434" s="27">
        <f>K434-G434*J434</f>
        <v/>
      </c>
    </row>
    <row r="435">
      <c r="A435" s="25" t="inlineStr">
        <is>
          <t>ORD-10091</t>
        </is>
      </c>
      <c r="B435" s="26" t="n">
        <v>45803</v>
      </c>
      <c r="C435" s="25">
        <f>MONTH(B435)</f>
        <v/>
      </c>
      <c r="D435" s="25" t="inlineStr">
        <is>
          <t>North</t>
        </is>
      </c>
      <c r="E435" s="25" t="inlineStr">
        <is>
          <t>Furniture</t>
        </is>
      </c>
      <c r="F435" s="25" t="inlineStr">
        <is>
          <t>Bookshelf</t>
        </is>
      </c>
      <c r="G435" s="25" t="n">
        <v>1</v>
      </c>
      <c r="H435" s="27" t="n">
        <v>6200</v>
      </c>
      <c r="I435" s="28" t="n">
        <v>0.1</v>
      </c>
      <c r="J435" s="27" t="n">
        <v>4100</v>
      </c>
      <c r="K435" s="27">
        <f>G435*H435*(1-I435)</f>
        <v/>
      </c>
      <c r="L435" s="27">
        <f>K435-G435*J435</f>
        <v/>
      </c>
    </row>
    <row r="436">
      <c r="A436" s="25" t="inlineStr">
        <is>
          <t>ORD-11003</t>
        </is>
      </c>
      <c r="B436" s="26" t="n">
        <v>45804</v>
      </c>
      <c r="C436" s="25">
        <f>MONTH(B436)</f>
        <v/>
      </c>
      <c r="D436" s="25" t="inlineStr">
        <is>
          <t>North</t>
        </is>
      </c>
      <c r="E436" s="25" t="inlineStr">
        <is>
          <t>Office Supplies</t>
        </is>
      </c>
      <c r="F436" s="25" t="inlineStr">
        <is>
          <t>Desk Organizer</t>
        </is>
      </c>
      <c r="G436" s="25" t="n">
        <v>5</v>
      </c>
      <c r="H436" s="27" t="n">
        <v>850</v>
      </c>
      <c r="I436" s="28" t="n">
        <v>0.2</v>
      </c>
      <c r="J436" s="27" t="n">
        <v>420</v>
      </c>
      <c r="K436" s="27">
        <f>G436*H436*(1-I436)</f>
        <v/>
      </c>
      <c r="L436" s="27">
        <f>K436-G436*J436</f>
        <v/>
      </c>
    </row>
    <row r="437">
      <c r="A437" s="25" t="inlineStr">
        <is>
          <t>ORD-10084</t>
        </is>
      </c>
      <c r="B437" s="26" t="n">
        <v>45805</v>
      </c>
      <c r="C437" s="25">
        <f>MONTH(B437)</f>
        <v/>
      </c>
      <c r="D437" s="25" t="inlineStr">
        <is>
          <t>East</t>
        </is>
      </c>
      <c r="E437" s="25" t="inlineStr">
        <is>
          <t>Technology</t>
        </is>
      </c>
      <c r="F437" s="25" t="inlineStr">
        <is>
          <t>Wireless Mouse</t>
        </is>
      </c>
      <c r="G437" s="25" t="n">
        <v>1</v>
      </c>
      <c r="H437" s="27" t="n">
        <v>1200</v>
      </c>
      <c r="I437" s="28" t="n">
        <v>0</v>
      </c>
      <c r="J437" s="27" t="n">
        <v>650</v>
      </c>
      <c r="K437" s="27">
        <f>G437*H437*(1-I437)</f>
        <v/>
      </c>
      <c r="L437" s="27">
        <f>K437-G437*J437</f>
        <v/>
      </c>
    </row>
    <row r="438">
      <c r="A438" s="25" t="inlineStr">
        <is>
          <t>ORD-10126</t>
        </is>
      </c>
      <c r="B438" s="26" t="n">
        <v>45805</v>
      </c>
      <c r="C438" s="25">
        <f>MONTH(B438)</f>
        <v/>
      </c>
      <c r="D438" s="25" t="inlineStr">
        <is>
          <t>North</t>
        </is>
      </c>
      <c r="E438" s="25" t="inlineStr">
        <is>
          <t>Technology</t>
        </is>
      </c>
      <c r="F438" s="25" t="inlineStr">
        <is>
          <t>Monitor 24"</t>
        </is>
      </c>
      <c r="G438" s="25" t="n">
        <v>1</v>
      </c>
      <c r="H438" s="27" t="n">
        <v>11500</v>
      </c>
      <c r="I438" s="28" t="n">
        <v>0.2</v>
      </c>
      <c r="J438" s="27" t="n">
        <v>8200</v>
      </c>
      <c r="K438" s="27">
        <f>G438*H438*(1-I438)</f>
        <v/>
      </c>
      <c r="L438" s="27">
        <f>K438-G438*J438</f>
        <v/>
      </c>
    </row>
    <row r="439">
      <c r="A439" s="25" t="inlineStr">
        <is>
          <t>ORD-10643</t>
        </is>
      </c>
      <c r="B439" s="26" t="n">
        <v>45805</v>
      </c>
      <c r="C439" s="25">
        <f>MONTH(B439)</f>
        <v/>
      </c>
      <c r="D439" s="25" t="inlineStr">
        <is>
          <t>West</t>
        </is>
      </c>
      <c r="E439" s="25" t="inlineStr">
        <is>
          <t>Office Supplies</t>
        </is>
      </c>
      <c r="F439" s="25" t="inlineStr">
        <is>
          <t>Notebook Set</t>
        </is>
      </c>
      <c r="G439" s="25" t="n">
        <v>6</v>
      </c>
      <c r="H439" s="27" t="n">
        <v>450</v>
      </c>
      <c r="I439" s="28" t="n">
        <v>0</v>
      </c>
      <c r="J439" s="27" t="n">
        <v>190</v>
      </c>
      <c r="K439" s="27">
        <f>G439*H439*(1-I439)</f>
        <v/>
      </c>
      <c r="L439" s="27">
        <f>K439-G439*J439</f>
        <v/>
      </c>
    </row>
    <row r="440">
      <c r="A440" s="25" t="inlineStr">
        <is>
          <t>ORD-10738</t>
        </is>
      </c>
      <c r="B440" s="26" t="n">
        <v>45805</v>
      </c>
      <c r="C440" s="25">
        <f>MONTH(B440)</f>
        <v/>
      </c>
      <c r="D440" s="25" t="inlineStr">
        <is>
          <t>South</t>
        </is>
      </c>
      <c r="E440" s="25" t="inlineStr">
        <is>
          <t>Office Supplies</t>
        </is>
      </c>
      <c r="F440" s="25" t="inlineStr">
        <is>
          <t>Desk Organizer</t>
        </is>
      </c>
      <c r="G440" s="25" t="n">
        <v>2</v>
      </c>
      <c r="H440" s="27" t="n">
        <v>850</v>
      </c>
      <c r="I440" s="28" t="n">
        <v>0</v>
      </c>
      <c r="J440" s="27" t="n">
        <v>420</v>
      </c>
      <c r="K440" s="27">
        <f>G440*H440*(1-I440)</f>
        <v/>
      </c>
      <c r="L440" s="27">
        <f>K440-G440*J440</f>
        <v/>
      </c>
    </row>
    <row r="441">
      <c r="A441" s="25" t="inlineStr">
        <is>
          <t>ORD-10808</t>
        </is>
      </c>
      <c r="B441" s="26" t="n">
        <v>45805</v>
      </c>
      <c r="C441" s="25">
        <f>MONTH(B441)</f>
        <v/>
      </c>
      <c r="D441" s="25" t="inlineStr">
        <is>
          <t>South</t>
        </is>
      </c>
      <c r="E441" s="25" t="inlineStr">
        <is>
          <t>Office Supplies</t>
        </is>
      </c>
      <c r="F441" s="25" t="inlineStr">
        <is>
          <t>Desk Organizer</t>
        </is>
      </c>
      <c r="G441" s="25" t="n">
        <v>3</v>
      </c>
      <c r="H441" s="27" t="n">
        <v>850</v>
      </c>
      <c r="I441" s="28" t="n">
        <v>0.05</v>
      </c>
      <c r="J441" s="27" t="n">
        <v>420</v>
      </c>
      <c r="K441" s="27">
        <f>G441*H441*(1-I441)</f>
        <v/>
      </c>
      <c r="L441" s="27">
        <f>K441-G441*J441</f>
        <v/>
      </c>
    </row>
    <row r="442">
      <c r="A442" s="25" t="inlineStr">
        <is>
          <t>ORD-10969</t>
        </is>
      </c>
      <c r="B442" s="26" t="n">
        <v>45805</v>
      </c>
      <c r="C442" s="25">
        <f>MONTH(B442)</f>
        <v/>
      </c>
      <c r="D442" s="25" t="inlineStr">
        <is>
          <t>West</t>
        </is>
      </c>
      <c r="E442" s="25" t="inlineStr">
        <is>
          <t>Accessories</t>
        </is>
      </c>
      <c r="F442" s="25" t="inlineStr">
        <is>
          <t>USB-C Hub</t>
        </is>
      </c>
      <c r="G442" s="25" t="n">
        <v>2</v>
      </c>
      <c r="H442" s="27" t="n">
        <v>1800</v>
      </c>
      <c r="I442" s="28" t="n">
        <v>0</v>
      </c>
      <c r="J442" s="27" t="n">
        <v>980</v>
      </c>
      <c r="K442" s="27">
        <f>G442*H442*(1-I442)</f>
        <v/>
      </c>
      <c r="L442" s="27">
        <f>K442-G442*J442</f>
        <v/>
      </c>
    </row>
    <row r="443">
      <c r="A443" s="25" t="inlineStr">
        <is>
          <t>ORD-10312</t>
        </is>
      </c>
      <c r="B443" s="26" t="n">
        <v>45809</v>
      </c>
      <c r="C443" s="25">
        <f>MONTH(B443)</f>
        <v/>
      </c>
      <c r="D443" s="25" t="inlineStr">
        <is>
          <t>West</t>
        </is>
      </c>
      <c r="E443" s="25" t="inlineStr">
        <is>
          <t>Office Supplies</t>
        </is>
      </c>
      <c r="F443" s="25" t="inlineStr">
        <is>
          <t>Notebook Set</t>
        </is>
      </c>
      <c r="G443" s="25" t="n">
        <v>1</v>
      </c>
      <c r="H443" s="27" t="n">
        <v>450</v>
      </c>
      <c r="I443" s="28" t="n">
        <v>0.2</v>
      </c>
      <c r="J443" s="27" t="n">
        <v>190</v>
      </c>
      <c r="K443" s="27">
        <f>G443*H443*(1-I443)</f>
        <v/>
      </c>
      <c r="L443" s="27">
        <f>K443-G443*J443</f>
        <v/>
      </c>
    </row>
    <row r="444">
      <c r="A444" s="25" t="inlineStr">
        <is>
          <t>ORD-10535</t>
        </is>
      </c>
      <c r="B444" s="26" t="n">
        <v>45810</v>
      </c>
      <c r="C444" s="25">
        <f>MONTH(B444)</f>
        <v/>
      </c>
      <c r="D444" s="25" t="inlineStr">
        <is>
          <t>South</t>
        </is>
      </c>
      <c r="E444" s="25" t="inlineStr">
        <is>
          <t>Technology</t>
        </is>
      </c>
      <c r="F444" s="25" t="inlineStr">
        <is>
          <t>Mechanical Keyboard</t>
        </is>
      </c>
      <c r="G444" s="25" t="n">
        <v>1</v>
      </c>
      <c r="H444" s="27" t="n">
        <v>4200</v>
      </c>
      <c r="I444" s="28" t="n">
        <v>0.15</v>
      </c>
      <c r="J444" s="27" t="n">
        <v>2500</v>
      </c>
      <c r="K444" s="27">
        <f>G444*H444*(1-I444)</f>
        <v/>
      </c>
      <c r="L444" s="27">
        <f>K444-G444*J444</f>
        <v/>
      </c>
    </row>
    <row r="445">
      <c r="A445" s="25" t="inlineStr">
        <is>
          <t>ORD-10369</t>
        </is>
      </c>
      <c r="B445" s="26" t="n">
        <v>45811</v>
      </c>
      <c r="C445" s="25">
        <f>MONTH(B445)</f>
        <v/>
      </c>
      <c r="D445" s="25" t="inlineStr">
        <is>
          <t>South</t>
        </is>
      </c>
      <c r="E445" s="25" t="inlineStr">
        <is>
          <t>Accessories</t>
        </is>
      </c>
      <c r="F445" s="25" t="inlineStr">
        <is>
          <t>USB-C Hub</t>
        </is>
      </c>
      <c r="G445" s="25" t="n">
        <v>3</v>
      </c>
      <c r="H445" s="27" t="n">
        <v>1800</v>
      </c>
      <c r="I445" s="28" t="n">
        <v>0.2</v>
      </c>
      <c r="J445" s="27" t="n">
        <v>980</v>
      </c>
      <c r="K445" s="27">
        <f>G445*H445*(1-I445)</f>
        <v/>
      </c>
      <c r="L445" s="27">
        <f>K445-G445*J445</f>
        <v/>
      </c>
    </row>
    <row r="446">
      <c r="A446" s="25" t="inlineStr">
        <is>
          <t>ORD-10781</t>
        </is>
      </c>
      <c r="B446" s="26" t="n">
        <v>45811</v>
      </c>
      <c r="C446" s="25">
        <f>MONTH(B446)</f>
        <v/>
      </c>
      <c r="D446" s="25" t="inlineStr">
        <is>
          <t>North</t>
        </is>
      </c>
      <c r="E446" s="25" t="inlineStr">
        <is>
          <t>Technology</t>
        </is>
      </c>
      <c r="F446" s="25" t="inlineStr">
        <is>
          <t>Wireless Mouse</t>
        </is>
      </c>
      <c r="G446" s="25" t="n">
        <v>1</v>
      </c>
      <c r="H446" s="27" t="n">
        <v>1200</v>
      </c>
      <c r="I446" s="28" t="n">
        <v>0.05</v>
      </c>
      <c r="J446" s="27" t="n">
        <v>650</v>
      </c>
      <c r="K446" s="27">
        <f>G446*H446*(1-I446)</f>
        <v/>
      </c>
      <c r="L446" s="27">
        <f>K446-G446*J446</f>
        <v/>
      </c>
    </row>
    <row r="447">
      <c r="A447" s="25" t="inlineStr">
        <is>
          <t>ORD-10081</t>
        </is>
      </c>
      <c r="B447" s="26" t="n">
        <v>45812</v>
      </c>
      <c r="C447" s="25">
        <f>MONTH(B447)</f>
        <v/>
      </c>
      <c r="D447" s="25" t="inlineStr">
        <is>
          <t>South</t>
        </is>
      </c>
      <c r="E447" s="25" t="inlineStr">
        <is>
          <t>Office Supplies</t>
        </is>
      </c>
      <c r="F447" s="25" t="inlineStr">
        <is>
          <t>Printer Paper Box</t>
        </is>
      </c>
      <c r="G447" s="25" t="n">
        <v>6</v>
      </c>
      <c r="H447" s="27" t="n">
        <v>1600</v>
      </c>
      <c r="I447" s="28" t="n">
        <v>0</v>
      </c>
      <c r="J447" s="27" t="n">
        <v>1050</v>
      </c>
      <c r="K447" s="27">
        <f>G447*H447*(1-I447)</f>
        <v/>
      </c>
      <c r="L447" s="27">
        <f>K447-G447*J447</f>
        <v/>
      </c>
    </row>
    <row r="448">
      <c r="A448" s="25" t="inlineStr">
        <is>
          <t>ORD-10554</t>
        </is>
      </c>
      <c r="B448" s="26" t="n">
        <v>45812</v>
      </c>
      <c r="C448" s="25">
        <f>MONTH(B448)</f>
        <v/>
      </c>
      <c r="D448" s="25" t="inlineStr">
        <is>
          <t>South</t>
        </is>
      </c>
      <c r="E448" s="25" t="inlineStr">
        <is>
          <t>Office Supplies</t>
        </is>
      </c>
      <c r="F448" s="25" t="inlineStr">
        <is>
          <t>Desk Organizer</t>
        </is>
      </c>
      <c r="G448" s="25" t="n">
        <v>2</v>
      </c>
      <c r="H448" s="27" t="n">
        <v>850</v>
      </c>
      <c r="I448" s="28" t="n">
        <v>0</v>
      </c>
      <c r="J448" s="27" t="n">
        <v>420</v>
      </c>
      <c r="K448" s="27">
        <f>G448*H448*(1-I448)</f>
        <v/>
      </c>
      <c r="L448" s="27">
        <f>K448-G448*J448</f>
        <v/>
      </c>
    </row>
    <row r="449">
      <c r="A449" s="25" t="inlineStr">
        <is>
          <t>ORD-10950</t>
        </is>
      </c>
      <c r="B449" s="26" t="n">
        <v>45812</v>
      </c>
      <c r="C449" s="25">
        <f>MONTH(B449)</f>
        <v/>
      </c>
      <c r="D449" s="25" t="inlineStr">
        <is>
          <t>South</t>
        </is>
      </c>
      <c r="E449" s="25" t="inlineStr">
        <is>
          <t>Accessories</t>
        </is>
      </c>
      <c r="F449" s="25" t="inlineStr">
        <is>
          <t>USB-C Hub</t>
        </is>
      </c>
      <c r="G449" s="25" t="n">
        <v>4</v>
      </c>
      <c r="H449" s="27" t="n">
        <v>1800</v>
      </c>
      <c r="I449" s="28" t="n">
        <v>0</v>
      </c>
      <c r="J449" s="27" t="n">
        <v>980</v>
      </c>
      <c r="K449" s="27">
        <f>G449*H449*(1-I449)</f>
        <v/>
      </c>
      <c r="L449" s="27">
        <f>K449-G449*J449</f>
        <v/>
      </c>
    </row>
    <row r="450">
      <c r="A450" s="25" t="inlineStr">
        <is>
          <t>ORD-11009</t>
        </is>
      </c>
      <c r="B450" s="26" t="n">
        <v>45812</v>
      </c>
      <c r="C450" s="25">
        <f>MONTH(B450)</f>
        <v/>
      </c>
      <c r="D450" s="25" t="inlineStr">
        <is>
          <t>West</t>
        </is>
      </c>
      <c r="E450" s="25" t="inlineStr">
        <is>
          <t>Accessories</t>
        </is>
      </c>
      <c r="F450" s="25" t="inlineStr">
        <is>
          <t>Webcam</t>
        </is>
      </c>
      <c r="G450" s="25" t="n">
        <v>1</v>
      </c>
      <c r="H450" s="27" t="n">
        <v>3200</v>
      </c>
      <c r="I450" s="28" t="n">
        <v>0</v>
      </c>
      <c r="J450" s="27" t="n">
        <v>1900</v>
      </c>
      <c r="K450" s="27">
        <f>G450*H450*(1-I450)</f>
        <v/>
      </c>
      <c r="L450" s="27">
        <f>K450-G450*J450</f>
        <v/>
      </c>
    </row>
    <row r="451">
      <c r="A451" s="25" t="inlineStr">
        <is>
          <t>ORD-10215</t>
        </is>
      </c>
      <c r="B451" s="26" t="n">
        <v>45814</v>
      </c>
      <c r="C451" s="25">
        <f>MONTH(B451)</f>
        <v/>
      </c>
      <c r="D451" s="25" t="inlineStr">
        <is>
          <t>West</t>
        </is>
      </c>
      <c r="E451" s="25" t="inlineStr">
        <is>
          <t>Furniture</t>
        </is>
      </c>
      <c r="F451" s="25" t="inlineStr">
        <is>
          <t>Bookshelf</t>
        </is>
      </c>
      <c r="G451" s="25" t="n">
        <v>2</v>
      </c>
      <c r="H451" s="27" t="n">
        <v>6200</v>
      </c>
      <c r="I451" s="28" t="n">
        <v>0.2</v>
      </c>
      <c r="J451" s="27" t="n">
        <v>4100</v>
      </c>
      <c r="K451" s="27">
        <f>G451*H451*(1-I451)</f>
        <v/>
      </c>
      <c r="L451" s="27">
        <f>K451-G451*J451</f>
        <v/>
      </c>
    </row>
    <row r="452">
      <c r="A452" s="25" t="inlineStr">
        <is>
          <t>ORD-10159</t>
        </is>
      </c>
      <c r="B452" s="26" t="n">
        <v>45815</v>
      </c>
      <c r="C452" s="25">
        <f>MONTH(B452)</f>
        <v/>
      </c>
      <c r="D452" s="25" t="inlineStr">
        <is>
          <t>North</t>
        </is>
      </c>
      <c r="E452" s="25" t="inlineStr">
        <is>
          <t>Technology</t>
        </is>
      </c>
      <c r="F452" s="25" t="inlineStr">
        <is>
          <t>Wireless Mouse</t>
        </is>
      </c>
      <c r="G452" s="25" t="n">
        <v>1</v>
      </c>
      <c r="H452" s="27" t="n">
        <v>1200</v>
      </c>
      <c r="I452" s="28" t="n">
        <v>0</v>
      </c>
      <c r="J452" s="27" t="n">
        <v>650</v>
      </c>
      <c r="K452" s="27">
        <f>G452*H452*(1-I452)</f>
        <v/>
      </c>
      <c r="L452" s="27">
        <f>K452-G452*J452</f>
        <v/>
      </c>
    </row>
    <row r="453">
      <c r="A453" s="25" t="inlineStr">
        <is>
          <t>ORD-10135</t>
        </is>
      </c>
      <c r="B453" s="26" t="n">
        <v>45816</v>
      </c>
      <c r="C453" s="25">
        <f>MONTH(B453)</f>
        <v/>
      </c>
      <c r="D453" s="25" t="inlineStr">
        <is>
          <t>East</t>
        </is>
      </c>
      <c r="E453" s="25" t="inlineStr">
        <is>
          <t>Technology</t>
        </is>
      </c>
      <c r="F453" s="25" t="inlineStr">
        <is>
          <t>Mechanical Keyboard</t>
        </is>
      </c>
      <c r="G453" s="25" t="n">
        <v>2</v>
      </c>
      <c r="H453" s="27" t="n">
        <v>4200</v>
      </c>
      <c r="I453" s="28" t="n">
        <v>0</v>
      </c>
      <c r="J453" s="27" t="n">
        <v>2500</v>
      </c>
      <c r="K453" s="27">
        <f>G453*H453*(1-I453)</f>
        <v/>
      </c>
      <c r="L453" s="27">
        <f>K453-G453*J453</f>
        <v/>
      </c>
    </row>
    <row r="454">
      <c r="A454" s="25" t="inlineStr">
        <is>
          <t>ORD-10142</t>
        </is>
      </c>
      <c r="B454" s="26" t="n">
        <v>45817</v>
      </c>
      <c r="C454" s="25">
        <f>MONTH(B454)</f>
        <v/>
      </c>
      <c r="D454" s="25" t="inlineStr">
        <is>
          <t>North</t>
        </is>
      </c>
      <c r="E454" s="25" t="inlineStr">
        <is>
          <t>Furniture</t>
        </is>
      </c>
      <c r="F454" s="25" t="inlineStr">
        <is>
          <t>Bookshelf</t>
        </is>
      </c>
      <c r="G454" s="25" t="n">
        <v>2</v>
      </c>
      <c r="H454" s="27" t="n">
        <v>6200</v>
      </c>
      <c r="I454" s="28" t="n">
        <v>0.2</v>
      </c>
      <c r="J454" s="27" t="n">
        <v>4100</v>
      </c>
      <c r="K454" s="27">
        <f>G454*H454*(1-I454)</f>
        <v/>
      </c>
      <c r="L454" s="27">
        <f>K454-G454*J454</f>
        <v/>
      </c>
    </row>
    <row r="455">
      <c r="A455" s="25" t="inlineStr">
        <is>
          <t>ORD-10847</t>
        </is>
      </c>
      <c r="B455" s="26" t="n">
        <v>45817</v>
      </c>
      <c r="C455" s="25">
        <f>MONTH(B455)</f>
        <v/>
      </c>
      <c r="D455" s="25" t="inlineStr">
        <is>
          <t>South</t>
        </is>
      </c>
      <c r="E455" s="25" t="inlineStr">
        <is>
          <t>Technology</t>
        </is>
      </c>
      <c r="F455" s="25" t="inlineStr">
        <is>
          <t>Wireless Mouse</t>
        </is>
      </c>
      <c r="G455" s="25" t="n">
        <v>4</v>
      </c>
      <c r="H455" s="27" t="n">
        <v>1200</v>
      </c>
      <c r="I455" s="28" t="n">
        <v>0</v>
      </c>
      <c r="J455" s="27" t="n">
        <v>650</v>
      </c>
      <c r="K455" s="27">
        <f>G455*H455*(1-I455)</f>
        <v/>
      </c>
      <c r="L455" s="27">
        <f>K455-G455*J455</f>
        <v/>
      </c>
    </row>
    <row r="456">
      <c r="A456" s="25" t="inlineStr">
        <is>
          <t>ORD-10902</t>
        </is>
      </c>
      <c r="B456" s="26" t="n">
        <v>45817</v>
      </c>
      <c r="C456" s="25">
        <f>MONTH(B456)</f>
        <v/>
      </c>
      <c r="D456" s="25" t="inlineStr">
        <is>
          <t>South</t>
        </is>
      </c>
      <c r="E456" s="25" t="inlineStr">
        <is>
          <t>Technology</t>
        </is>
      </c>
      <c r="F456" s="25" t="inlineStr">
        <is>
          <t>Mechanical Keyboard</t>
        </is>
      </c>
      <c r="G456" s="25" t="n">
        <v>2</v>
      </c>
      <c r="H456" s="27" t="n">
        <v>4200</v>
      </c>
      <c r="I456" s="28" t="n">
        <v>0.2</v>
      </c>
      <c r="J456" s="27" t="n">
        <v>2500</v>
      </c>
      <c r="K456" s="27">
        <f>G456*H456*(1-I456)</f>
        <v/>
      </c>
      <c r="L456" s="27">
        <f>K456-G456*J456</f>
        <v/>
      </c>
    </row>
    <row r="457">
      <c r="A457" s="25" t="inlineStr">
        <is>
          <t>ORD-10287</t>
        </is>
      </c>
      <c r="B457" s="26" t="n">
        <v>45818</v>
      </c>
      <c r="C457" s="25">
        <f>MONTH(B457)</f>
        <v/>
      </c>
      <c r="D457" s="25" t="inlineStr">
        <is>
          <t>North</t>
        </is>
      </c>
      <c r="E457" s="25" t="inlineStr">
        <is>
          <t>Office Supplies</t>
        </is>
      </c>
      <c r="F457" s="25" t="inlineStr">
        <is>
          <t>Printer Paper Box</t>
        </is>
      </c>
      <c r="G457" s="25" t="n">
        <v>6</v>
      </c>
      <c r="H457" s="27" t="n">
        <v>1600</v>
      </c>
      <c r="I457" s="28" t="n">
        <v>0.15</v>
      </c>
      <c r="J457" s="27" t="n">
        <v>1050</v>
      </c>
      <c r="K457" s="27">
        <f>G457*H457*(1-I457)</f>
        <v/>
      </c>
      <c r="L457" s="27">
        <f>K457-G457*J457</f>
        <v/>
      </c>
    </row>
    <row r="458">
      <c r="A458" s="25" t="inlineStr">
        <is>
          <t>ORD-10414</t>
        </is>
      </c>
      <c r="B458" s="26" t="n">
        <v>45818</v>
      </c>
      <c r="C458" s="25">
        <f>MONTH(B458)</f>
        <v/>
      </c>
      <c r="D458" s="25" t="inlineStr">
        <is>
          <t>North</t>
        </is>
      </c>
      <c r="E458" s="25" t="inlineStr">
        <is>
          <t>Technology</t>
        </is>
      </c>
      <c r="F458" s="25" t="inlineStr">
        <is>
          <t>Monitor 24"</t>
        </is>
      </c>
      <c r="G458" s="25" t="n">
        <v>1</v>
      </c>
      <c r="H458" s="27" t="n">
        <v>11500</v>
      </c>
      <c r="I458" s="28" t="n">
        <v>0.05</v>
      </c>
      <c r="J458" s="27" t="n">
        <v>8200</v>
      </c>
      <c r="K458" s="27">
        <f>G458*H458*(1-I458)</f>
        <v/>
      </c>
      <c r="L458" s="27">
        <f>K458-G458*J458</f>
        <v/>
      </c>
    </row>
    <row r="459">
      <c r="A459" s="25" t="inlineStr">
        <is>
          <t>ORD-10539</t>
        </is>
      </c>
      <c r="B459" s="26" t="n">
        <v>45818</v>
      </c>
      <c r="C459" s="25">
        <f>MONTH(B459)</f>
        <v/>
      </c>
      <c r="D459" s="25" t="inlineStr">
        <is>
          <t>East</t>
        </is>
      </c>
      <c r="E459" s="25" t="inlineStr">
        <is>
          <t>Office Supplies</t>
        </is>
      </c>
      <c r="F459" s="25" t="inlineStr">
        <is>
          <t>Desk Organizer</t>
        </is>
      </c>
      <c r="G459" s="25" t="n">
        <v>3</v>
      </c>
      <c r="H459" s="27" t="n">
        <v>850</v>
      </c>
      <c r="I459" s="28" t="n">
        <v>0.05</v>
      </c>
      <c r="J459" s="27" t="n">
        <v>420</v>
      </c>
      <c r="K459" s="27">
        <f>G459*H459*(1-I459)</f>
        <v/>
      </c>
      <c r="L459" s="27">
        <f>K459-G459*J459</f>
        <v/>
      </c>
    </row>
    <row r="460">
      <c r="A460" s="25" t="inlineStr">
        <is>
          <t>ORD-10338</t>
        </is>
      </c>
      <c r="B460" s="26" t="n">
        <v>45819</v>
      </c>
      <c r="C460" s="25">
        <f>MONTH(B460)</f>
        <v/>
      </c>
      <c r="D460" s="25" t="inlineStr">
        <is>
          <t>South</t>
        </is>
      </c>
      <c r="E460" s="25" t="inlineStr">
        <is>
          <t>Accessories</t>
        </is>
      </c>
      <c r="F460" s="25" t="inlineStr">
        <is>
          <t>Headphones</t>
        </is>
      </c>
      <c r="G460" s="25" t="n">
        <v>1</v>
      </c>
      <c r="H460" s="27" t="n">
        <v>4500</v>
      </c>
      <c r="I460" s="28" t="n">
        <v>0.1</v>
      </c>
      <c r="J460" s="27" t="n">
        <v>2600</v>
      </c>
      <c r="K460" s="27">
        <f>G460*H460*(1-I460)</f>
        <v/>
      </c>
      <c r="L460" s="27">
        <f>K460-G460*J460</f>
        <v/>
      </c>
    </row>
    <row r="461">
      <c r="A461" s="25" t="inlineStr">
        <is>
          <t>ORD-10597</t>
        </is>
      </c>
      <c r="B461" s="26" t="n">
        <v>45819</v>
      </c>
      <c r="C461" s="25">
        <f>MONTH(B461)</f>
        <v/>
      </c>
      <c r="D461" s="25" t="inlineStr">
        <is>
          <t>South</t>
        </is>
      </c>
      <c r="E461" s="25" t="inlineStr">
        <is>
          <t>Office Supplies</t>
        </is>
      </c>
      <c r="F461" s="25" t="inlineStr">
        <is>
          <t>Printer Paper Box</t>
        </is>
      </c>
      <c r="G461" s="25" t="n">
        <v>6</v>
      </c>
      <c r="H461" s="27" t="n">
        <v>1600</v>
      </c>
      <c r="I461" s="28" t="n">
        <v>0.15</v>
      </c>
      <c r="J461" s="27" t="n">
        <v>1050</v>
      </c>
      <c r="K461" s="27">
        <f>G461*H461*(1-I461)</f>
        <v/>
      </c>
      <c r="L461" s="27">
        <f>K461-G461*J461</f>
        <v/>
      </c>
    </row>
    <row r="462">
      <c r="A462" s="25" t="inlineStr">
        <is>
          <t>ORD-10614</t>
        </is>
      </c>
      <c r="B462" s="26" t="n">
        <v>45819</v>
      </c>
      <c r="C462" s="25">
        <f>MONTH(B462)</f>
        <v/>
      </c>
      <c r="D462" s="25" t="inlineStr">
        <is>
          <t>South</t>
        </is>
      </c>
      <c r="E462" s="25" t="inlineStr">
        <is>
          <t>Technology</t>
        </is>
      </c>
      <c r="F462" s="25" t="inlineStr">
        <is>
          <t>Mechanical Keyboard</t>
        </is>
      </c>
      <c r="G462" s="25" t="n">
        <v>1</v>
      </c>
      <c r="H462" s="27" t="n">
        <v>4200</v>
      </c>
      <c r="I462" s="28" t="n">
        <v>0.1</v>
      </c>
      <c r="J462" s="27" t="n">
        <v>2500</v>
      </c>
      <c r="K462" s="27">
        <f>G462*H462*(1-I462)</f>
        <v/>
      </c>
      <c r="L462" s="27">
        <f>K462-G462*J462</f>
        <v/>
      </c>
    </row>
    <row r="463">
      <c r="A463" s="25" t="inlineStr">
        <is>
          <t>ORD-10744</t>
        </is>
      </c>
      <c r="B463" s="26" t="n">
        <v>45819</v>
      </c>
      <c r="C463" s="25">
        <f>MONTH(B463)</f>
        <v/>
      </c>
      <c r="D463" s="25" t="inlineStr">
        <is>
          <t>West</t>
        </is>
      </c>
      <c r="E463" s="25" t="inlineStr">
        <is>
          <t>Office Supplies</t>
        </is>
      </c>
      <c r="F463" s="25" t="inlineStr">
        <is>
          <t>Desk Organizer</t>
        </is>
      </c>
      <c r="G463" s="25" t="n">
        <v>5</v>
      </c>
      <c r="H463" s="27" t="n">
        <v>850</v>
      </c>
      <c r="I463" s="28" t="n">
        <v>0</v>
      </c>
      <c r="J463" s="27" t="n">
        <v>420</v>
      </c>
      <c r="K463" s="27">
        <f>G463*H463*(1-I463)</f>
        <v/>
      </c>
      <c r="L463" s="27">
        <f>K463-G463*J463</f>
        <v/>
      </c>
    </row>
    <row r="464">
      <c r="A464" s="25" t="inlineStr">
        <is>
          <t>ORD-10331</t>
        </is>
      </c>
      <c r="B464" s="26" t="n">
        <v>45820</v>
      </c>
      <c r="C464" s="25">
        <f>MONTH(B464)</f>
        <v/>
      </c>
      <c r="D464" s="25" t="inlineStr">
        <is>
          <t>East</t>
        </is>
      </c>
      <c r="E464" s="25" t="inlineStr">
        <is>
          <t>Accessories</t>
        </is>
      </c>
      <c r="F464" s="25" t="inlineStr">
        <is>
          <t>Headphones</t>
        </is>
      </c>
      <c r="G464" s="25" t="n">
        <v>1</v>
      </c>
      <c r="H464" s="27" t="n">
        <v>4500</v>
      </c>
      <c r="I464" s="28" t="n">
        <v>0.05</v>
      </c>
      <c r="J464" s="27" t="n">
        <v>2600</v>
      </c>
      <c r="K464" s="27">
        <f>G464*H464*(1-I464)</f>
        <v/>
      </c>
      <c r="L464" s="27">
        <f>K464-G464*J464</f>
        <v/>
      </c>
    </row>
    <row r="465">
      <c r="A465" s="25" t="inlineStr">
        <is>
          <t>ORD-10498</t>
        </is>
      </c>
      <c r="B465" s="26" t="n">
        <v>45820</v>
      </c>
      <c r="C465" s="25">
        <f>MONTH(B465)</f>
        <v/>
      </c>
      <c r="D465" s="25" t="inlineStr">
        <is>
          <t>North</t>
        </is>
      </c>
      <c r="E465" s="25" t="inlineStr">
        <is>
          <t>Furniture</t>
        </is>
      </c>
      <c r="F465" s="25" t="inlineStr">
        <is>
          <t>Bookshelf</t>
        </is>
      </c>
      <c r="G465" s="25" t="n">
        <v>1</v>
      </c>
      <c r="H465" s="27" t="n">
        <v>6200</v>
      </c>
      <c r="I465" s="28" t="n">
        <v>0.15</v>
      </c>
      <c r="J465" s="27" t="n">
        <v>4100</v>
      </c>
      <c r="K465" s="27">
        <f>G465*H465*(1-I465)</f>
        <v/>
      </c>
      <c r="L465" s="27">
        <f>K465-G465*J465</f>
        <v/>
      </c>
    </row>
    <row r="466">
      <c r="A466" s="25" t="inlineStr">
        <is>
          <t>ORD-10819</t>
        </is>
      </c>
      <c r="B466" s="26" t="n">
        <v>45820</v>
      </c>
      <c r="C466" s="25">
        <f>MONTH(B466)</f>
        <v/>
      </c>
      <c r="D466" s="25" t="inlineStr">
        <is>
          <t>East</t>
        </is>
      </c>
      <c r="E466" s="25" t="inlineStr">
        <is>
          <t>Technology</t>
        </is>
      </c>
      <c r="F466" s="25" t="inlineStr">
        <is>
          <t>Wireless Mouse</t>
        </is>
      </c>
      <c r="G466" s="25" t="n">
        <v>4</v>
      </c>
      <c r="H466" s="27" t="n">
        <v>1200</v>
      </c>
      <c r="I466" s="28" t="n">
        <v>0</v>
      </c>
      <c r="J466" s="27" t="n">
        <v>650</v>
      </c>
      <c r="K466" s="27">
        <f>G466*H466*(1-I466)</f>
        <v/>
      </c>
      <c r="L466" s="27">
        <f>K466-G466*J466</f>
        <v/>
      </c>
    </row>
    <row r="467">
      <c r="A467" s="25" t="inlineStr">
        <is>
          <t>ORD-10197</t>
        </is>
      </c>
      <c r="B467" s="26" t="n">
        <v>45821</v>
      </c>
      <c r="C467" s="25">
        <f>MONTH(B467)</f>
        <v/>
      </c>
      <c r="D467" s="25" t="inlineStr">
        <is>
          <t>South</t>
        </is>
      </c>
      <c r="E467" s="25" t="inlineStr">
        <is>
          <t>Accessories</t>
        </is>
      </c>
      <c r="F467" s="25" t="inlineStr">
        <is>
          <t>USB-C Hub</t>
        </is>
      </c>
      <c r="G467" s="25" t="n">
        <v>4</v>
      </c>
      <c r="H467" s="27" t="n">
        <v>1800</v>
      </c>
      <c r="I467" s="28" t="n">
        <v>0.2</v>
      </c>
      <c r="J467" s="27" t="n">
        <v>980</v>
      </c>
      <c r="K467" s="27">
        <f>G467*H467*(1-I467)</f>
        <v/>
      </c>
      <c r="L467" s="27">
        <f>K467-G467*J467</f>
        <v/>
      </c>
    </row>
    <row r="468">
      <c r="A468" s="25" t="inlineStr">
        <is>
          <t>ORD-10222</t>
        </is>
      </c>
      <c r="B468" s="26" t="n">
        <v>45821</v>
      </c>
      <c r="C468" s="25">
        <f>MONTH(B468)</f>
        <v/>
      </c>
      <c r="D468" s="25" t="inlineStr">
        <is>
          <t>South</t>
        </is>
      </c>
      <c r="E468" s="25" t="inlineStr">
        <is>
          <t>Technology</t>
        </is>
      </c>
      <c r="F468" s="25" t="inlineStr">
        <is>
          <t>Monitor 24"</t>
        </is>
      </c>
      <c r="G468" s="25" t="n">
        <v>1</v>
      </c>
      <c r="H468" s="27" t="n">
        <v>11500</v>
      </c>
      <c r="I468" s="28" t="n">
        <v>0.2</v>
      </c>
      <c r="J468" s="27" t="n">
        <v>8200</v>
      </c>
      <c r="K468" s="27">
        <f>G468*H468*(1-I468)</f>
        <v/>
      </c>
      <c r="L468" s="27">
        <f>K468-G468*J468</f>
        <v/>
      </c>
    </row>
    <row r="469">
      <c r="A469" s="25" t="inlineStr">
        <is>
          <t>ORD-10634</t>
        </is>
      </c>
      <c r="B469" s="26" t="n">
        <v>45821</v>
      </c>
      <c r="C469" s="25">
        <f>MONTH(B469)</f>
        <v/>
      </c>
      <c r="D469" s="25" t="inlineStr">
        <is>
          <t>West</t>
        </is>
      </c>
      <c r="E469" s="25" t="inlineStr">
        <is>
          <t>Office Supplies</t>
        </is>
      </c>
      <c r="F469" s="25" t="inlineStr">
        <is>
          <t>Notebook Set</t>
        </is>
      </c>
      <c r="G469" s="25" t="n">
        <v>8</v>
      </c>
      <c r="H469" s="27" t="n">
        <v>450</v>
      </c>
      <c r="I469" s="28" t="n">
        <v>0</v>
      </c>
      <c r="J469" s="27" t="n">
        <v>190</v>
      </c>
      <c r="K469" s="27">
        <f>G469*H469*(1-I469)</f>
        <v/>
      </c>
      <c r="L469" s="27">
        <f>K469-G469*J469</f>
        <v/>
      </c>
    </row>
    <row r="470">
      <c r="A470" s="25" t="inlineStr">
        <is>
          <t>ORD-10674</t>
        </is>
      </c>
      <c r="B470" s="26" t="n">
        <v>45821</v>
      </c>
      <c r="C470" s="25">
        <f>MONTH(B470)</f>
        <v/>
      </c>
      <c r="D470" s="25" t="inlineStr">
        <is>
          <t>West</t>
        </is>
      </c>
      <c r="E470" s="25" t="inlineStr">
        <is>
          <t>Technology</t>
        </is>
      </c>
      <c r="F470" s="25" t="inlineStr">
        <is>
          <t>Monitor 24"</t>
        </is>
      </c>
      <c r="G470" s="25" t="n">
        <v>2</v>
      </c>
      <c r="H470" s="27" t="n">
        <v>11500</v>
      </c>
      <c r="I470" s="28" t="n">
        <v>0.05</v>
      </c>
      <c r="J470" s="27" t="n">
        <v>8200</v>
      </c>
      <c r="K470" s="27">
        <f>G470*H470*(1-I470)</f>
        <v/>
      </c>
      <c r="L470" s="27">
        <f>K470-G470*J470</f>
        <v/>
      </c>
    </row>
    <row r="471">
      <c r="A471" s="25" t="inlineStr">
        <is>
          <t>ORD-11013</t>
        </is>
      </c>
      <c r="B471" s="26" t="n">
        <v>45821</v>
      </c>
      <c r="C471" s="25">
        <f>MONTH(B471)</f>
        <v/>
      </c>
      <c r="D471" s="25" t="inlineStr">
        <is>
          <t>South</t>
        </is>
      </c>
      <c r="E471" s="25" t="inlineStr">
        <is>
          <t>Technology</t>
        </is>
      </c>
      <c r="F471" s="25" t="inlineStr">
        <is>
          <t>Mechanical Keyboard</t>
        </is>
      </c>
      <c r="G471" s="25" t="n">
        <v>2</v>
      </c>
      <c r="H471" s="27" t="n">
        <v>4200</v>
      </c>
      <c r="I471" s="28" t="n">
        <v>0.2</v>
      </c>
      <c r="J471" s="27" t="n">
        <v>2500</v>
      </c>
      <c r="K471" s="27">
        <f>G471*H471*(1-I471)</f>
        <v/>
      </c>
      <c r="L471" s="27">
        <f>K471-G471*J471</f>
        <v/>
      </c>
    </row>
    <row r="472">
      <c r="A472" s="25" t="inlineStr">
        <is>
          <t>ORD-10175</t>
        </is>
      </c>
      <c r="B472" s="26" t="n">
        <v>45822</v>
      </c>
      <c r="C472" s="25">
        <f>MONTH(B472)</f>
        <v/>
      </c>
      <c r="D472" s="25" t="inlineStr">
        <is>
          <t>East</t>
        </is>
      </c>
      <c r="E472" s="25" t="inlineStr">
        <is>
          <t>Office Supplies</t>
        </is>
      </c>
      <c r="F472" s="25" t="inlineStr">
        <is>
          <t>Printer Paper Box</t>
        </is>
      </c>
      <c r="G472" s="25" t="n">
        <v>4</v>
      </c>
      <c r="H472" s="27" t="n">
        <v>1600</v>
      </c>
      <c r="I472" s="28" t="n">
        <v>0</v>
      </c>
      <c r="J472" s="27" t="n">
        <v>1050</v>
      </c>
      <c r="K472" s="27">
        <f>G472*H472*(1-I472)</f>
        <v/>
      </c>
      <c r="L472" s="27">
        <f>K472-G472*J472</f>
        <v/>
      </c>
    </row>
    <row r="473">
      <c r="A473" s="25" t="inlineStr">
        <is>
          <t>ORD-10753</t>
        </is>
      </c>
      <c r="B473" s="26" t="n">
        <v>45822</v>
      </c>
      <c r="C473" s="25">
        <f>MONTH(B473)</f>
        <v/>
      </c>
      <c r="D473" s="25" t="inlineStr">
        <is>
          <t>West</t>
        </is>
      </c>
      <c r="E473" s="25" t="inlineStr">
        <is>
          <t>Office Supplies</t>
        </is>
      </c>
      <c r="F473" s="25" t="inlineStr">
        <is>
          <t>Notebook Set</t>
        </is>
      </c>
      <c r="G473" s="25" t="n">
        <v>4</v>
      </c>
      <c r="H473" s="27" t="n">
        <v>450</v>
      </c>
      <c r="I473" s="28" t="n">
        <v>0</v>
      </c>
      <c r="J473" s="27" t="n">
        <v>190</v>
      </c>
      <c r="K473" s="27">
        <f>G473*H473*(1-I473)</f>
        <v/>
      </c>
      <c r="L473" s="27">
        <f>K473-G473*J473</f>
        <v/>
      </c>
    </row>
    <row r="474">
      <c r="A474" s="25" t="inlineStr">
        <is>
          <t>ORD-10870</t>
        </is>
      </c>
      <c r="B474" s="26" t="n">
        <v>45822</v>
      </c>
      <c r="C474" s="25">
        <f>MONTH(B474)</f>
        <v/>
      </c>
      <c r="D474" s="25" t="inlineStr">
        <is>
          <t>North</t>
        </is>
      </c>
      <c r="E474" s="25" t="inlineStr">
        <is>
          <t>Office Supplies</t>
        </is>
      </c>
      <c r="F474" s="25" t="inlineStr">
        <is>
          <t>Notebook Set</t>
        </is>
      </c>
      <c r="G474" s="25" t="n">
        <v>8</v>
      </c>
      <c r="H474" s="27" t="n">
        <v>450</v>
      </c>
      <c r="I474" s="28" t="n">
        <v>0.1</v>
      </c>
      <c r="J474" s="27" t="n">
        <v>190</v>
      </c>
      <c r="K474" s="27">
        <f>G474*H474*(1-I474)</f>
        <v/>
      </c>
      <c r="L474" s="27">
        <f>K474-G474*J474</f>
        <v/>
      </c>
    </row>
    <row r="475">
      <c r="A475" s="25" t="inlineStr">
        <is>
          <t>ORD-10054</t>
        </is>
      </c>
      <c r="B475" s="26" t="n">
        <v>45823</v>
      </c>
      <c r="C475" s="25">
        <f>MONTH(B475)</f>
        <v/>
      </c>
      <c r="D475" s="25" t="inlineStr">
        <is>
          <t>North</t>
        </is>
      </c>
      <c r="E475" s="25" t="inlineStr">
        <is>
          <t>Office Supplies</t>
        </is>
      </c>
      <c r="F475" s="25" t="inlineStr">
        <is>
          <t>Desk Organizer</t>
        </is>
      </c>
      <c r="G475" s="25" t="n">
        <v>1</v>
      </c>
      <c r="H475" s="27" t="n">
        <v>850</v>
      </c>
      <c r="I475" s="28" t="n">
        <v>0</v>
      </c>
      <c r="J475" s="27" t="n">
        <v>420</v>
      </c>
      <c r="K475" s="27">
        <f>G475*H475*(1-I475)</f>
        <v/>
      </c>
      <c r="L475" s="27">
        <f>K475-G475*J475</f>
        <v/>
      </c>
    </row>
    <row r="476">
      <c r="A476" s="25" t="inlineStr">
        <is>
          <t>ORD-10181</t>
        </is>
      </c>
      <c r="B476" s="26" t="n">
        <v>45823</v>
      </c>
      <c r="C476" s="25">
        <f>MONTH(B476)</f>
        <v/>
      </c>
      <c r="D476" s="25" t="inlineStr">
        <is>
          <t>South</t>
        </is>
      </c>
      <c r="E476" s="25" t="inlineStr">
        <is>
          <t>Office Supplies</t>
        </is>
      </c>
      <c r="F476" s="25" t="inlineStr">
        <is>
          <t>Printer Paper Box</t>
        </is>
      </c>
      <c r="G476" s="25" t="n">
        <v>3</v>
      </c>
      <c r="H476" s="27" t="n">
        <v>1600</v>
      </c>
      <c r="I476" s="28" t="n">
        <v>0.05</v>
      </c>
      <c r="J476" s="27" t="n">
        <v>1050</v>
      </c>
      <c r="K476" s="27">
        <f>G476*H476*(1-I476)</f>
        <v/>
      </c>
      <c r="L476" s="27">
        <f>K476-G476*J476</f>
        <v/>
      </c>
    </row>
    <row r="477">
      <c r="A477" s="25" t="inlineStr">
        <is>
          <t>ORD-10204</t>
        </is>
      </c>
      <c r="B477" s="26" t="n">
        <v>45823</v>
      </c>
      <c r="C477" s="25">
        <f>MONTH(B477)</f>
        <v/>
      </c>
      <c r="D477" s="25" t="inlineStr">
        <is>
          <t>West</t>
        </is>
      </c>
      <c r="E477" s="25" t="inlineStr">
        <is>
          <t>Furniture</t>
        </is>
      </c>
      <c r="F477" s="25" t="inlineStr">
        <is>
          <t>Office Chair</t>
        </is>
      </c>
      <c r="G477" s="25" t="n">
        <v>1</v>
      </c>
      <c r="H477" s="27" t="n">
        <v>8500</v>
      </c>
      <c r="I477" s="28" t="n">
        <v>0</v>
      </c>
      <c r="J477" s="27" t="n">
        <v>5600</v>
      </c>
      <c r="K477" s="27">
        <f>G477*H477*(1-I477)</f>
        <v/>
      </c>
      <c r="L477" s="27">
        <f>K477-G477*J477</f>
        <v/>
      </c>
    </row>
    <row r="478">
      <c r="A478" s="25" t="inlineStr">
        <is>
          <t>ORD-10264</t>
        </is>
      </c>
      <c r="B478" s="26" t="n">
        <v>45823</v>
      </c>
      <c r="C478" s="25">
        <f>MONTH(B478)</f>
        <v/>
      </c>
      <c r="D478" s="25" t="inlineStr">
        <is>
          <t>West</t>
        </is>
      </c>
      <c r="E478" s="25" t="inlineStr">
        <is>
          <t>Technology</t>
        </is>
      </c>
      <c r="F478" s="25" t="inlineStr">
        <is>
          <t>Mechanical Keyboard</t>
        </is>
      </c>
      <c r="G478" s="25" t="n">
        <v>2</v>
      </c>
      <c r="H478" s="27" t="n">
        <v>4200</v>
      </c>
      <c r="I478" s="28" t="n">
        <v>0</v>
      </c>
      <c r="J478" s="27" t="n">
        <v>2500</v>
      </c>
      <c r="K478" s="27">
        <f>G478*H478*(1-I478)</f>
        <v/>
      </c>
      <c r="L478" s="27">
        <f>K478-G478*J478</f>
        <v/>
      </c>
    </row>
    <row r="479">
      <c r="A479" s="25" t="inlineStr">
        <is>
          <t>ORD-10283</t>
        </is>
      </c>
      <c r="B479" s="26" t="n">
        <v>45823</v>
      </c>
      <c r="C479" s="25">
        <f>MONTH(B479)</f>
        <v/>
      </c>
      <c r="D479" s="25" t="inlineStr">
        <is>
          <t>East</t>
        </is>
      </c>
      <c r="E479" s="25" t="inlineStr">
        <is>
          <t>Office Supplies</t>
        </is>
      </c>
      <c r="F479" s="25" t="inlineStr">
        <is>
          <t>Printer Paper Box</t>
        </is>
      </c>
      <c r="G479" s="25" t="n">
        <v>3</v>
      </c>
      <c r="H479" s="27" t="n">
        <v>1600</v>
      </c>
      <c r="I479" s="28" t="n">
        <v>0.05</v>
      </c>
      <c r="J479" s="27" t="n">
        <v>1050</v>
      </c>
      <c r="K479" s="27">
        <f>G479*H479*(1-I479)</f>
        <v/>
      </c>
      <c r="L479" s="27">
        <f>K479-G479*J479</f>
        <v/>
      </c>
    </row>
    <row r="480">
      <c r="A480" s="25" t="inlineStr">
        <is>
          <t>ORD-10690</t>
        </is>
      </c>
      <c r="B480" s="26" t="n">
        <v>45823</v>
      </c>
      <c r="C480" s="25">
        <f>MONTH(B480)</f>
        <v/>
      </c>
      <c r="D480" s="25" t="inlineStr">
        <is>
          <t>South</t>
        </is>
      </c>
      <c r="E480" s="25" t="inlineStr">
        <is>
          <t>Office Supplies</t>
        </is>
      </c>
      <c r="F480" s="25" t="inlineStr">
        <is>
          <t>Printer Paper Box</t>
        </is>
      </c>
      <c r="G480" s="25" t="n">
        <v>6</v>
      </c>
      <c r="H480" s="27" t="n">
        <v>1600</v>
      </c>
      <c r="I480" s="28" t="n">
        <v>0</v>
      </c>
      <c r="J480" s="27" t="n">
        <v>1050</v>
      </c>
      <c r="K480" s="27">
        <f>G480*H480*(1-I480)</f>
        <v/>
      </c>
      <c r="L480" s="27">
        <f>K480-G480*J480</f>
        <v/>
      </c>
    </row>
    <row r="481">
      <c r="A481" s="25" t="inlineStr">
        <is>
          <t>ORD-10841</t>
        </is>
      </c>
      <c r="B481" s="26" t="n">
        <v>45823</v>
      </c>
      <c r="C481" s="25">
        <f>MONTH(B481)</f>
        <v/>
      </c>
      <c r="D481" s="25" t="inlineStr">
        <is>
          <t>West</t>
        </is>
      </c>
      <c r="E481" s="25" t="inlineStr">
        <is>
          <t>Accessories</t>
        </is>
      </c>
      <c r="F481" s="25" t="inlineStr">
        <is>
          <t>Headphones</t>
        </is>
      </c>
      <c r="G481" s="25" t="n">
        <v>1</v>
      </c>
      <c r="H481" s="27" t="n">
        <v>4500</v>
      </c>
      <c r="I481" s="28" t="n">
        <v>0</v>
      </c>
      <c r="J481" s="27" t="n">
        <v>2600</v>
      </c>
      <c r="K481" s="27">
        <f>G481*H481*(1-I481)</f>
        <v/>
      </c>
      <c r="L481" s="27">
        <f>K481-G481*J481</f>
        <v/>
      </c>
    </row>
    <row r="482">
      <c r="A482" s="25" t="inlineStr">
        <is>
          <t>ORD-10374</t>
        </is>
      </c>
      <c r="B482" s="26" t="n">
        <v>45824</v>
      </c>
      <c r="C482" s="25">
        <f>MONTH(B482)</f>
        <v/>
      </c>
      <c r="D482" s="25" t="inlineStr">
        <is>
          <t>West</t>
        </is>
      </c>
      <c r="E482" s="25" t="inlineStr">
        <is>
          <t>Office Supplies</t>
        </is>
      </c>
      <c r="F482" s="25" t="inlineStr">
        <is>
          <t>Printer Paper Box</t>
        </is>
      </c>
      <c r="G482" s="25" t="n">
        <v>5</v>
      </c>
      <c r="H482" s="27" t="n">
        <v>1600</v>
      </c>
      <c r="I482" s="28" t="n">
        <v>0</v>
      </c>
      <c r="J482" s="27" t="n">
        <v>1050</v>
      </c>
      <c r="K482" s="27">
        <f>G482*H482*(1-I482)</f>
        <v/>
      </c>
      <c r="L482" s="27">
        <f>K482-G482*J482</f>
        <v/>
      </c>
    </row>
    <row r="483">
      <c r="A483" s="25" t="inlineStr">
        <is>
          <t>ORD-10762</t>
        </is>
      </c>
      <c r="B483" s="26" t="n">
        <v>45824</v>
      </c>
      <c r="C483" s="25">
        <f>MONTH(B483)</f>
        <v/>
      </c>
      <c r="D483" s="25" t="inlineStr">
        <is>
          <t>South</t>
        </is>
      </c>
      <c r="E483" s="25" t="inlineStr">
        <is>
          <t>Furniture</t>
        </is>
      </c>
      <c r="F483" s="25" t="inlineStr">
        <is>
          <t>Bookshelf</t>
        </is>
      </c>
      <c r="G483" s="25" t="n">
        <v>1</v>
      </c>
      <c r="H483" s="27" t="n">
        <v>6200</v>
      </c>
      <c r="I483" s="28" t="n">
        <v>0</v>
      </c>
      <c r="J483" s="27" t="n">
        <v>4100</v>
      </c>
      <c r="K483" s="27">
        <f>G483*H483*(1-I483)</f>
        <v/>
      </c>
      <c r="L483" s="27">
        <f>K483-G483*J483</f>
        <v/>
      </c>
    </row>
    <row r="484">
      <c r="A484" s="25" t="inlineStr">
        <is>
          <t>ORD-10921</t>
        </is>
      </c>
      <c r="B484" s="26" t="n">
        <v>45824</v>
      </c>
      <c r="C484" s="25">
        <f>MONTH(B484)</f>
        <v/>
      </c>
      <c r="D484" s="25" t="inlineStr">
        <is>
          <t>North</t>
        </is>
      </c>
      <c r="E484" s="25" t="inlineStr">
        <is>
          <t>Office Supplies</t>
        </is>
      </c>
      <c r="F484" s="25" t="inlineStr">
        <is>
          <t>Notebook Set</t>
        </is>
      </c>
      <c r="G484" s="25" t="n">
        <v>8</v>
      </c>
      <c r="H484" s="27" t="n">
        <v>450</v>
      </c>
      <c r="I484" s="28" t="n">
        <v>0</v>
      </c>
      <c r="J484" s="27" t="n">
        <v>190</v>
      </c>
      <c r="K484" s="27">
        <f>G484*H484*(1-I484)</f>
        <v/>
      </c>
      <c r="L484" s="27">
        <f>K484-G484*J484</f>
        <v/>
      </c>
    </row>
    <row r="485">
      <c r="A485" s="25" t="inlineStr">
        <is>
          <t>ORD-10066</t>
        </is>
      </c>
      <c r="B485" s="26" t="n">
        <v>45826</v>
      </c>
      <c r="C485" s="25">
        <f>MONTH(B485)</f>
        <v/>
      </c>
      <c r="D485" s="25" t="inlineStr">
        <is>
          <t>North</t>
        </is>
      </c>
      <c r="E485" s="25" t="inlineStr">
        <is>
          <t>Technology</t>
        </is>
      </c>
      <c r="F485" s="25" t="inlineStr">
        <is>
          <t>Wireless Mouse</t>
        </is>
      </c>
      <c r="G485" s="25" t="n">
        <v>1</v>
      </c>
      <c r="H485" s="27" t="n">
        <v>1200</v>
      </c>
      <c r="I485" s="28" t="n">
        <v>0.1</v>
      </c>
      <c r="J485" s="27" t="n">
        <v>650</v>
      </c>
      <c r="K485" s="27">
        <f>G485*H485*(1-I485)</f>
        <v/>
      </c>
      <c r="L485" s="27">
        <f>K485-G485*J485</f>
        <v/>
      </c>
    </row>
    <row r="486">
      <c r="A486" s="25" t="inlineStr">
        <is>
          <t>ORD-10225</t>
        </is>
      </c>
      <c r="B486" s="26" t="n">
        <v>45826</v>
      </c>
      <c r="C486" s="25">
        <f>MONTH(B486)</f>
        <v/>
      </c>
      <c r="D486" s="25" t="inlineStr">
        <is>
          <t>South</t>
        </is>
      </c>
      <c r="E486" s="25" t="inlineStr">
        <is>
          <t>Furniture</t>
        </is>
      </c>
      <c r="F486" s="25" t="inlineStr">
        <is>
          <t>Standing Desk</t>
        </is>
      </c>
      <c r="G486" s="25" t="n">
        <v>1</v>
      </c>
      <c r="H486" s="27" t="n">
        <v>19500</v>
      </c>
      <c r="I486" s="28" t="n">
        <v>0.05</v>
      </c>
      <c r="J486" s="27" t="n">
        <v>13800</v>
      </c>
      <c r="K486" s="27">
        <f>G486*H486*(1-I486)</f>
        <v/>
      </c>
      <c r="L486" s="27">
        <f>K486-G486*J486</f>
        <v/>
      </c>
    </row>
    <row r="487">
      <c r="A487" s="25" t="inlineStr">
        <is>
          <t>ORD-10040</t>
        </is>
      </c>
      <c r="B487" s="26" t="n">
        <v>45827</v>
      </c>
      <c r="C487" s="25">
        <f>MONTH(B487)</f>
        <v/>
      </c>
      <c r="D487" s="25" t="inlineStr">
        <is>
          <t>West</t>
        </is>
      </c>
      <c r="E487" s="25" t="inlineStr">
        <is>
          <t>Furniture</t>
        </is>
      </c>
      <c r="F487" s="25" t="inlineStr">
        <is>
          <t>Bookshelf</t>
        </is>
      </c>
      <c r="G487" s="25" t="n">
        <v>1</v>
      </c>
      <c r="H487" s="27" t="n">
        <v>6200</v>
      </c>
      <c r="I487" s="28" t="n">
        <v>0</v>
      </c>
      <c r="J487" s="27" t="n">
        <v>4100</v>
      </c>
      <c r="K487" s="27">
        <f>G487*H487*(1-I487)</f>
        <v/>
      </c>
      <c r="L487" s="27">
        <f>K487-G487*J487</f>
        <v/>
      </c>
    </row>
    <row r="488">
      <c r="A488" s="25" t="inlineStr">
        <is>
          <t>ORD-10070</t>
        </is>
      </c>
      <c r="B488" s="26" t="n">
        <v>45827</v>
      </c>
      <c r="C488" s="25">
        <f>MONTH(B488)</f>
        <v/>
      </c>
      <c r="D488" s="25" t="inlineStr">
        <is>
          <t>East</t>
        </is>
      </c>
      <c r="E488" s="25" t="inlineStr">
        <is>
          <t>Accessories</t>
        </is>
      </c>
      <c r="F488" s="25" t="inlineStr">
        <is>
          <t>Headphones</t>
        </is>
      </c>
      <c r="G488" s="25" t="n">
        <v>1</v>
      </c>
      <c r="H488" s="27" t="n">
        <v>4500</v>
      </c>
      <c r="I488" s="28" t="n">
        <v>0</v>
      </c>
      <c r="J488" s="27" t="n">
        <v>2600</v>
      </c>
      <c r="K488" s="27">
        <f>G488*H488*(1-I488)</f>
        <v/>
      </c>
      <c r="L488" s="27">
        <f>K488-G488*J488</f>
        <v/>
      </c>
    </row>
    <row r="489">
      <c r="A489" s="25" t="inlineStr">
        <is>
          <t>ORD-10259</t>
        </is>
      </c>
      <c r="B489" s="26" t="n">
        <v>45827</v>
      </c>
      <c r="C489" s="25">
        <f>MONTH(B489)</f>
        <v/>
      </c>
      <c r="D489" s="25" t="inlineStr">
        <is>
          <t>South</t>
        </is>
      </c>
      <c r="E489" s="25" t="inlineStr">
        <is>
          <t>Accessories</t>
        </is>
      </c>
      <c r="F489" s="25" t="inlineStr">
        <is>
          <t>USB-C Hub</t>
        </is>
      </c>
      <c r="G489" s="25" t="n">
        <v>2</v>
      </c>
      <c r="H489" s="27" t="n">
        <v>1800</v>
      </c>
      <c r="I489" s="28" t="n">
        <v>0</v>
      </c>
      <c r="J489" s="27" t="n">
        <v>980</v>
      </c>
      <c r="K489" s="27">
        <f>G489*H489*(1-I489)</f>
        <v/>
      </c>
      <c r="L489" s="27">
        <f>K489-G489*J489</f>
        <v/>
      </c>
    </row>
    <row r="490">
      <c r="A490" s="25" t="inlineStr">
        <is>
          <t>ORD-10731</t>
        </is>
      </c>
      <c r="B490" s="26" t="n">
        <v>45827</v>
      </c>
      <c r="C490" s="25">
        <f>MONTH(B490)</f>
        <v/>
      </c>
      <c r="D490" s="25" t="inlineStr">
        <is>
          <t>West</t>
        </is>
      </c>
      <c r="E490" s="25" t="inlineStr">
        <is>
          <t>Office Supplies</t>
        </is>
      </c>
      <c r="F490" s="25" t="inlineStr">
        <is>
          <t>Printer Paper Box</t>
        </is>
      </c>
      <c r="G490" s="25" t="n">
        <v>6</v>
      </c>
      <c r="H490" s="27" t="n">
        <v>1600</v>
      </c>
      <c r="I490" s="28" t="n">
        <v>0.1</v>
      </c>
      <c r="J490" s="27" t="n">
        <v>1050</v>
      </c>
      <c r="K490" s="27">
        <f>G490*H490*(1-I490)</f>
        <v/>
      </c>
      <c r="L490" s="27">
        <f>K490-G490*J490</f>
        <v/>
      </c>
    </row>
    <row r="491">
      <c r="A491" s="25" t="inlineStr">
        <is>
          <t>ORD-11082</t>
        </is>
      </c>
      <c r="B491" s="26" t="n">
        <v>45827</v>
      </c>
      <c r="C491" s="25">
        <f>MONTH(B491)</f>
        <v/>
      </c>
      <c r="D491" s="25" t="inlineStr">
        <is>
          <t>West</t>
        </is>
      </c>
      <c r="E491" s="25" t="inlineStr">
        <is>
          <t>Accessories</t>
        </is>
      </c>
      <c r="F491" s="25" t="inlineStr">
        <is>
          <t>USB-C Hub</t>
        </is>
      </c>
      <c r="G491" s="25" t="n">
        <v>3</v>
      </c>
      <c r="H491" s="27" t="n">
        <v>1800</v>
      </c>
      <c r="I491" s="28" t="n">
        <v>0</v>
      </c>
      <c r="J491" s="27" t="n">
        <v>980</v>
      </c>
      <c r="K491" s="27">
        <f>G491*H491*(1-I491)</f>
        <v/>
      </c>
      <c r="L491" s="27">
        <f>K491-G491*J491</f>
        <v/>
      </c>
    </row>
    <row r="492">
      <c r="A492" s="25" t="inlineStr">
        <is>
          <t>ORD-10173</t>
        </is>
      </c>
      <c r="B492" s="26" t="n">
        <v>45828</v>
      </c>
      <c r="C492" s="25">
        <f>MONTH(B492)</f>
        <v/>
      </c>
      <c r="D492" s="25" t="inlineStr">
        <is>
          <t>East</t>
        </is>
      </c>
      <c r="E492" s="25" t="inlineStr">
        <is>
          <t>Office Supplies</t>
        </is>
      </c>
      <c r="F492" s="25" t="inlineStr">
        <is>
          <t>Printer Paper Box</t>
        </is>
      </c>
      <c r="G492" s="25" t="n">
        <v>6</v>
      </c>
      <c r="H492" s="27" t="n">
        <v>1600</v>
      </c>
      <c r="I492" s="28" t="n">
        <v>0.05</v>
      </c>
      <c r="J492" s="27" t="n">
        <v>1050</v>
      </c>
      <c r="K492" s="27">
        <f>G492*H492*(1-I492)</f>
        <v/>
      </c>
      <c r="L492" s="27">
        <f>K492-G492*J492</f>
        <v/>
      </c>
    </row>
    <row r="493">
      <c r="A493" s="25" t="inlineStr">
        <is>
          <t>ORD-10768</t>
        </is>
      </c>
      <c r="B493" s="26" t="n">
        <v>45828</v>
      </c>
      <c r="C493" s="25">
        <f>MONTH(B493)</f>
        <v/>
      </c>
      <c r="D493" s="25" t="inlineStr">
        <is>
          <t>West</t>
        </is>
      </c>
      <c r="E493" s="25" t="inlineStr">
        <is>
          <t>Furniture</t>
        </is>
      </c>
      <c r="F493" s="25" t="inlineStr">
        <is>
          <t>Bookshelf</t>
        </is>
      </c>
      <c r="G493" s="25" t="n">
        <v>3</v>
      </c>
      <c r="H493" s="27" t="n">
        <v>6200</v>
      </c>
      <c r="I493" s="28" t="n">
        <v>0.2</v>
      </c>
      <c r="J493" s="27" t="n">
        <v>4100</v>
      </c>
      <c r="K493" s="27">
        <f>G493*H493*(1-I493)</f>
        <v/>
      </c>
      <c r="L493" s="27">
        <f>K493-G493*J493</f>
        <v/>
      </c>
    </row>
    <row r="494">
      <c r="A494" s="25" t="inlineStr">
        <is>
          <t>ORD-10001</t>
        </is>
      </c>
      <c r="B494" s="26" t="n">
        <v>45829</v>
      </c>
      <c r="C494" s="25">
        <f>MONTH(B494)</f>
        <v/>
      </c>
      <c r="D494" s="25" t="inlineStr">
        <is>
          <t>West</t>
        </is>
      </c>
      <c r="E494" s="25" t="inlineStr">
        <is>
          <t>Accessories</t>
        </is>
      </c>
      <c r="F494" s="25" t="inlineStr">
        <is>
          <t>Headphones</t>
        </is>
      </c>
      <c r="G494" s="25" t="n">
        <v>1</v>
      </c>
      <c r="H494" s="27" t="n">
        <v>4500</v>
      </c>
      <c r="I494" s="28" t="n">
        <v>0</v>
      </c>
      <c r="J494" s="27" t="n">
        <v>2600</v>
      </c>
      <c r="K494" s="27">
        <f>G494*H494*(1-I494)</f>
        <v/>
      </c>
      <c r="L494" s="27">
        <f>K494-G494*J494</f>
        <v/>
      </c>
    </row>
    <row r="495">
      <c r="A495" s="25" t="inlineStr">
        <is>
          <t>ORD-10478</t>
        </is>
      </c>
      <c r="B495" s="26" t="n">
        <v>45829</v>
      </c>
      <c r="C495" s="25">
        <f>MONTH(B495)</f>
        <v/>
      </c>
      <c r="D495" s="25" t="inlineStr">
        <is>
          <t>West</t>
        </is>
      </c>
      <c r="E495" s="25" t="inlineStr">
        <is>
          <t>Technology</t>
        </is>
      </c>
      <c r="F495" s="25" t="inlineStr">
        <is>
          <t>Monitor 24"</t>
        </is>
      </c>
      <c r="G495" s="25" t="n">
        <v>2</v>
      </c>
      <c r="H495" s="27" t="n">
        <v>11500</v>
      </c>
      <c r="I495" s="28" t="n">
        <v>0</v>
      </c>
      <c r="J495" s="27" t="n">
        <v>8200</v>
      </c>
      <c r="K495" s="27">
        <f>G495*H495*(1-I495)</f>
        <v/>
      </c>
      <c r="L495" s="27">
        <f>K495-G495*J495</f>
        <v/>
      </c>
    </row>
    <row r="496">
      <c r="A496" s="25" t="inlineStr">
        <is>
          <t>ORD-10848</t>
        </is>
      </c>
      <c r="B496" s="26" t="n">
        <v>45829</v>
      </c>
      <c r="C496" s="25">
        <f>MONTH(B496)</f>
        <v/>
      </c>
      <c r="D496" s="25" t="inlineStr">
        <is>
          <t>West</t>
        </is>
      </c>
      <c r="E496" s="25" t="inlineStr">
        <is>
          <t>Furniture</t>
        </is>
      </c>
      <c r="F496" s="25" t="inlineStr">
        <is>
          <t>Standing Desk</t>
        </is>
      </c>
      <c r="G496" s="25" t="n">
        <v>1</v>
      </c>
      <c r="H496" s="27" t="n">
        <v>19500</v>
      </c>
      <c r="I496" s="28" t="n">
        <v>0</v>
      </c>
      <c r="J496" s="27" t="n">
        <v>13800</v>
      </c>
      <c r="K496" s="27">
        <f>G496*H496*(1-I496)</f>
        <v/>
      </c>
      <c r="L496" s="27">
        <f>K496-G496*J496</f>
        <v/>
      </c>
    </row>
    <row r="497">
      <c r="A497" s="25" t="inlineStr">
        <is>
          <t>ORD-10565</t>
        </is>
      </c>
      <c r="B497" s="26" t="n">
        <v>45830</v>
      </c>
      <c r="C497" s="25">
        <f>MONTH(B497)</f>
        <v/>
      </c>
      <c r="D497" s="25" t="inlineStr">
        <is>
          <t>South</t>
        </is>
      </c>
      <c r="E497" s="25" t="inlineStr">
        <is>
          <t>Technology</t>
        </is>
      </c>
      <c r="F497" s="25" t="inlineStr">
        <is>
          <t>Mechanical Keyboard</t>
        </is>
      </c>
      <c r="G497" s="25" t="n">
        <v>3</v>
      </c>
      <c r="H497" s="27" t="n">
        <v>4200</v>
      </c>
      <c r="I497" s="28" t="n">
        <v>0</v>
      </c>
      <c r="J497" s="27" t="n">
        <v>2500</v>
      </c>
      <c r="K497" s="27">
        <f>G497*H497*(1-I497)</f>
        <v/>
      </c>
      <c r="L497" s="27">
        <f>K497-G497*J497</f>
        <v/>
      </c>
    </row>
    <row r="498">
      <c r="A498" s="25" t="inlineStr">
        <is>
          <t>ORD-10750</t>
        </is>
      </c>
      <c r="B498" s="26" t="n">
        <v>45830</v>
      </c>
      <c r="C498" s="25">
        <f>MONTH(B498)</f>
        <v/>
      </c>
      <c r="D498" s="25" t="inlineStr">
        <is>
          <t>North</t>
        </is>
      </c>
      <c r="E498" s="25" t="inlineStr">
        <is>
          <t>Accessories</t>
        </is>
      </c>
      <c r="F498" s="25" t="inlineStr">
        <is>
          <t>Webcam</t>
        </is>
      </c>
      <c r="G498" s="25" t="n">
        <v>1</v>
      </c>
      <c r="H498" s="27" t="n">
        <v>3200</v>
      </c>
      <c r="I498" s="28" t="n">
        <v>0</v>
      </c>
      <c r="J498" s="27" t="n">
        <v>1900</v>
      </c>
      <c r="K498" s="27">
        <f>G498*H498*(1-I498)</f>
        <v/>
      </c>
      <c r="L498" s="27">
        <f>K498-G498*J498</f>
        <v/>
      </c>
    </row>
    <row r="499">
      <c r="A499" s="25" t="inlineStr">
        <is>
          <t>ORD-10830</t>
        </is>
      </c>
      <c r="B499" s="26" t="n">
        <v>45831</v>
      </c>
      <c r="C499" s="25">
        <f>MONTH(B499)</f>
        <v/>
      </c>
      <c r="D499" s="25" t="inlineStr">
        <is>
          <t>West</t>
        </is>
      </c>
      <c r="E499" s="25" t="inlineStr">
        <is>
          <t>Office Supplies</t>
        </is>
      </c>
      <c r="F499" s="25" t="inlineStr">
        <is>
          <t>Notebook Set</t>
        </is>
      </c>
      <c r="G499" s="25" t="n">
        <v>1</v>
      </c>
      <c r="H499" s="27" t="n">
        <v>450</v>
      </c>
      <c r="I499" s="28" t="n">
        <v>0</v>
      </c>
      <c r="J499" s="27" t="n">
        <v>190</v>
      </c>
      <c r="K499" s="27">
        <f>G499*H499*(1-I499)</f>
        <v/>
      </c>
      <c r="L499" s="27">
        <f>K499-G499*J499</f>
        <v/>
      </c>
    </row>
    <row r="500">
      <c r="A500" s="25" t="inlineStr">
        <is>
          <t>ORD-10873</t>
        </is>
      </c>
      <c r="B500" s="26" t="n">
        <v>45831</v>
      </c>
      <c r="C500" s="25">
        <f>MONTH(B500)</f>
        <v/>
      </c>
      <c r="D500" s="25" t="inlineStr">
        <is>
          <t>North</t>
        </is>
      </c>
      <c r="E500" s="25" t="inlineStr">
        <is>
          <t>Office Supplies</t>
        </is>
      </c>
      <c r="F500" s="25" t="inlineStr">
        <is>
          <t>Notebook Set</t>
        </is>
      </c>
      <c r="G500" s="25" t="n">
        <v>5</v>
      </c>
      <c r="H500" s="27" t="n">
        <v>450</v>
      </c>
      <c r="I500" s="28" t="n">
        <v>0</v>
      </c>
      <c r="J500" s="27" t="n">
        <v>190</v>
      </c>
      <c r="K500" s="27">
        <f>G500*H500*(1-I500)</f>
        <v/>
      </c>
      <c r="L500" s="27">
        <f>K500-G500*J500</f>
        <v/>
      </c>
    </row>
    <row r="501">
      <c r="A501" s="25" t="inlineStr">
        <is>
          <t>ORD-10166</t>
        </is>
      </c>
      <c r="B501" s="26" t="n">
        <v>45832</v>
      </c>
      <c r="C501" s="25">
        <f>MONTH(B501)</f>
        <v/>
      </c>
      <c r="D501" s="25" t="inlineStr">
        <is>
          <t>East</t>
        </is>
      </c>
      <c r="E501" s="25" t="inlineStr">
        <is>
          <t>Office Supplies</t>
        </is>
      </c>
      <c r="F501" s="25" t="inlineStr">
        <is>
          <t>Desk Organizer</t>
        </is>
      </c>
      <c r="G501" s="25" t="n">
        <v>5</v>
      </c>
      <c r="H501" s="27" t="n">
        <v>850</v>
      </c>
      <c r="I501" s="28" t="n">
        <v>0.05</v>
      </c>
      <c r="J501" s="27" t="n">
        <v>420</v>
      </c>
      <c r="K501" s="27">
        <f>G501*H501*(1-I501)</f>
        <v/>
      </c>
      <c r="L501" s="27">
        <f>K501-G501*J501</f>
        <v/>
      </c>
    </row>
    <row r="502">
      <c r="A502" s="25" t="inlineStr">
        <is>
          <t>ORD-10358</t>
        </is>
      </c>
      <c r="B502" s="26" t="n">
        <v>45832</v>
      </c>
      <c r="C502" s="25">
        <f>MONTH(B502)</f>
        <v/>
      </c>
      <c r="D502" s="25" t="inlineStr">
        <is>
          <t>South</t>
        </is>
      </c>
      <c r="E502" s="25" t="inlineStr">
        <is>
          <t>Accessories</t>
        </is>
      </c>
      <c r="F502" s="25" t="inlineStr">
        <is>
          <t>Headphones</t>
        </is>
      </c>
      <c r="G502" s="25" t="n">
        <v>2</v>
      </c>
      <c r="H502" s="27" t="n">
        <v>4500</v>
      </c>
      <c r="I502" s="28" t="n">
        <v>0</v>
      </c>
      <c r="J502" s="27" t="n">
        <v>2600</v>
      </c>
      <c r="K502" s="27">
        <f>G502*H502*(1-I502)</f>
        <v/>
      </c>
      <c r="L502" s="27">
        <f>K502-G502*J502</f>
        <v/>
      </c>
    </row>
    <row r="503">
      <c r="A503" s="25" t="inlineStr">
        <is>
          <t>ORD-11194</t>
        </is>
      </c>
      <c r="B503" s="26" t="n">
        <v>45832</v>
      </c>
      <c r="C503" s="25">
        <f>MONTH(B503)</f>
        <v/>
      </c>
      <c r="D503" s="25" t="inlineStr">
        <is>
          <t>East</t>
        </is>
      </c>
      <c r="E503" s="25" t="inlineStr">
        <is>
          <t>Office Supplies</t>
        </is>
      </c>
      <c r="F503" s="25" t="inlineStr">
        <is>
          <t>Printer Paper Box</t>
        </is>
      </c>
      <c r="G503" s="25" t="n">
        <v>4</v>
      </c>
      <c r="H503" s="27" t="n">
        <v>1600</v>
      </c>
      <c r="I503" s="28" t="n">
        <v>0.15</v>
      </c>
      <c r="J503" s="27" t="n">
        <v>1050</v>
      </c>
      <c r="K503" s="27">
        <f>G503*H503*(1-I503)</f>
        <v/>
      </c>
      <c r="L503" s="27">
        <f>K503-G503*J503</f>
        <v/>
      </c>
    </row>
    <row r="504">
      <c r="A504" s="25" t="inlineStr">
        <is>
          <t>ORD-10368</t>
        </is>
      </c>
      <c r="B504" s="26" t="n">
        <v>45834</v>
      </c>
      <c r="C504" s="25">
        <f>MONTH(B504)</f>
        <v/>
      </c>
      <c r="D504" s="25" t="inlineStr">
        <is>
          <t>South</t>
        </is>
      </c>
      <c r="E504" s="25" t="inlineStr">
        <is>
          <t>Accessories</t>
        </is>
      </c>
      <c r="F504" s="25" t="inlineStr">
        <is>
          <t>Webcam</t>
        </is>
      </c>
      <c r="G504" s="25" t="n">
        <v>2</v>
      </c>
      <c r="H504" s="27" t="n">
        <v>3200</v>
      </c>
      <c r="I504" s="28" t="n">
        <v>0</v>
      </c>
      <c r="J504" s="27" t="n">
        <v>1900</v>
      </c>
      <c r="K504" s="27">
        <f>G504*H504*(1-I504)</f>
        <v/>
      </c>
      <c r="L504" s="27">
        <f>K504-G504*J504</f>
        <v/>
      </c>
    </row>
    <row r="505">
      <c r="A505" s="25" t="inlineStr">
        <is>
          <t>ORD-10433</t>
        </is>
      </c>
      <c r="B505" s="26" t="n">
        <v>45834</v>
      </c>
      <c r="C505" s="25">
        <f>MONTH(B505)</f>
        <v/>
      </c>
      <c r="D505" s="25" t="inlineStr">
        <is>
          <t>West</t>
        </is>
      </c>
      <c r="E505" s="25" t="inlineStr">
        <is>
          <t>Office Supplies</t>
        </is>
      </c>
      <c r="F505" s="25" t="inlineStr">
        <is>
          <t>Printer Paper Box</t>
        </is>
      </c>
      <c r="G505" s="25" t="n">
        <v>3</v>
      </c>
      <c r="H505" s="27" t="n">
        <v>1600</v>
      </c>
      <c r="I505" s="28" t="n">
        <v>0.15</v>
      </c>
      <c r="J505" s="27" t="n">
        <v>1050</v>
      </c>
      <c r="K505" s="27">
        <f>G505*H505*(1-I505)</f>
        <v/>
      </c>
      <c r="L505" s="27">
        <f>K505-G505*J505</f>
        <v/>
      </c>
    </row>
    <row r="506">
      <c r="A506" s="25" t="inlineStr">
        <is>
          <t>ORD-10436</t>
        </is>
      </c>
      <c r="B506" s="26" t="n">
        <v>45834</v>
      </c>
      <c r="C506" s="25">
        <f>MONTH(B506)</f>
        <v/>
      </c>
      <c r="D506" s="25" t="inlineStr">
        <is>
          <t>West</t>
        </is>
      </c>
      <c r="E506" s="25" t="inlineStr">
        <is>
          <t>Technology</t>
        </is>
      </c>
      <c r="F506" s="25" t="inlineStr">
        <is>
          <t>Mechanical Keyboard</t>
        </is>
      </c>
      <c r="G506" s="25" t="n">
        <v>3</v>
      </c>
      <c r="H506" s="27" t="n">
        <v>4200</v>
      </c>
      <c r="I506" s="28" t="n">
        <v>0.05</v>
      </c>
      <c r="J506" s="27" t="n">
        <v>2500</v>
      </c>
      <c r="K506" s="27">
        <f>G506*H506*(1-I506)</f>
        <v/>
      </c>
      <c r="L506" s="27">
        <f>K506-G506*J506</f>
        <v/>
      </c>
    </row>
    <row r="507">
      <c r="A507" s="25" t="inlineStr">
        <is>
          <t>ORD-10613</t>
        </is>
      </c>
      <c r="B507" s="26" t="n">
        <v>45834</v>
      </c>
      <c r="C507" s="25">
        <f>MONTH(B507)</f>
        <v/>
      </c>
      <c r="D507" s="25" t="inlineStr">
        <is>
          <t>West</t>
        </is>
      </c>
      <c r="E507" s="25" t="inlineStr">
        <is>
          <t>Office Supplies</t>
        </is>
      </c>
      <c r="F507" s="25" t="inlineStr">
        <is>
          <t>Printer Paper Box</t>
        </is>
      </c>
      <c r="G507" s="25" t="n">
        <v>6</v>
      </c>
      <c r="H507" s="27" t="n">
        <v>1600</v>
      </c>
      <c r="I507" s="28" t="n">
        <v>0.2</v>
      </c>
      <c r="J507" s="27" t="n">
        <v>1050</v>
      </c>
      <c r="K507" s="27">
        <f>G507*H507*(1-I507)</f>
        <v/>
      </c>
      <c r="L507" s="27">
        <f>K507-G507*J507</f>
        <v/>
      </c>
    </row>
    <row r="508">
      <c r="A508" s="25" t="inlineStr">
        <is>
          <t>ORD-10885</t>
        </is>
      </c>
      <c r="B508" s="26" t="n">
        <v>45834</v>
      </c>
      <c r="C508" s="25">
        <f>MONTH(B508)</f>
        <v/>
      </c>
      <c r="D508" s="25" t="inlineStr">
        <is>
          <t>South</t>
        </is>
      </c>
      <c r="E508" s="25" t="inlineStr">
        <is>
          <t>Technology</t>
        </is>
      </c>
      <c r="F508" s="25" t="inlineStr">
        <is>
          <t>Monitor 24"</t>
        </is>
      </c>
      <c r="G508" s="25" t="n">
        <v>1</v>
      </c>
      <c r="H508" s="27" t="n">
        <v>11500</v>
      </c>
      <c r="I508" s="28" t="n">
        <v>0</v>
      </c>
      <c r="J508" s="27" t="n">
        <v>8200</v>
      </c>
      <c r="K508" s="27">
        <f>G508*H508*(1-I508)</f>
        <v/>
      </c>
      <c r="L508" s="27">
        <f>K508-G508*J508</f>
        <v/>
      </c>
    </row>
    <row r="509">
      <c r="A509" s="25" t="inlineStr">
        <is>
          <t>ORD-10165</t>
        </is>
      </c>
      <c r="B509" s="26" t="n">
        <v>45835</v>
      </c>
      <c r="C509" s="25">
        <f>MONTH(B509)</f>
        <v/>
      </c>
      <c r="D509" s="25" t="inlineStr">
        <is>
          <t>South</t>
        </is>
      </c>
      <c r="E509" s="25" t="inlineStr">
        <is>
          <t>Technology</t>
        </is>
      </c>
      <c r="F509" s="25" t="inlineStr">
        <is>
          <t>Wireless Mouse</t>
        </is>
      </c>
      <c r="G509" s="25" t="n">
        <v>4</v>
      </c>
      <c r="H509" s="27" t="n">
        <v>1200</v>
      </c>
      <c r="I509" s="28" t="n">
        <v>0</v>
      </c>
      <c r="J509" s="27" t="n">
        <v>650</v>
      </c>
      <c r="K509" s="27">
        <f>G509*H509*(1-I509)</f>
        <v/>
      </c>
      <c r="L509" s="27">
        <f>K509-G509*J509</f>
        <v/>
      </c>
    </row>
    <row r="510">
      <c r="A510" s="25" t="inlineStr">
        <is>
          <t>ORD-10284</t>
        </is>
      </c>
      <c r="B510" s="26" t="n">
        <v>45835</v>
      </c>
      <c r="C510" s="25">
        <f>MONTH(B510)</f>
        <v/>
      </c>
      <c r="D510" s="25" t="inlineStr">
        <is>
          <t>East</t>
        </is>
      </c>
      <c r="E510" s="25" t="inlineStr">
        <is>
          <t>Office Supplies</t>
        </is>
      </c>
      <c r="F510" s="25" t="inlineStr">
        <is>
          <t>Notebook Set</t>
        </is>
      </c>
      <c r="G510" s="25" t="n">
        <v>6</v>
      </c>
      <c r="H510" s="27" t="n">
        <v>450</v>
      </c>
      <c r="I510" s="28" t="n">
        <v>0</v>
      </c>
      <c r="J510" s="27" t="n">
        <v>190</v>
      </c>
      <c r="K510" s="27">
        <f>G510*H510*(1-I510)</f>
        <v/>
      </c>
      <c r="L510" s="27">
        <f>K510-G510*J510</f>
        <v/>
      </c>
    </row>
    <row r="511">
      <c r="A511" s="25" t="inlineStr">
        <is>
          <t>ORD-10542</t>
        </is>
      </c>
      <c r="B511" s="26" t="n">
        <v>45835</v>
      </c>
      <c r="C511" s="25">
        <f>MONTH(B511)</f>
        <v/>
      </c>
      <c r="D511" s="25" t="inlineStr">
        <is>
          <t>West</t>
        </is>
      </c>
      <c r="E511" s="25" t="inlineStr">
        <is>
          <t>Accessories</t>
        </is>
      </c>
      <c r="F511" s="25" t="inlineStr">
        <is>
          <t>Webcam</t>
        </is>
      </c>
      <c r="G511" s="25" t="n">
        <v>1</v>
      </c>
      <c r="H511" s="27" t="n">
        <v>3200</v>
      </c>
      <c r="I511" s="28" t="n">
        <v>0</v>
      </c>
      <c r="J511" s="27" t="n">
        <v>1900</v>
      </c>
      <c r="K511" s="27">
        <f>G511*H511*(1-I511)</f>
        <v/>
      </c>
      <c r="L511" s="27">
        <f>K511-G511*J511</f>
        <v/>
      </c>
    </row>
    <row r="512">
      <c r="A512" s="25" t="inlineStr">
        <is>
          <t>ORD-10836</t>
        </is>
      </c>
      <c r="B512" s="26" t="n">
        <v>45835</v>
      </c>
      <c r="C512" s="25">
        <f>MONTH(B512)</f>
        <v/>
      </c>
      <c r="D512" s="25" t="inlineStr">
        <is>
          <t>North</t>
        </is>
      </c>
      <c r="E512" s="25" t="inlineStr">
        <is>
          <t>Accessories</t>
        </is>
      </c>
      <c r="F512" s="25" t="inlineStr">
        <is>
          <t>Webcam</t>
        </is>
      </c>
      <c r="G512" s="25" t="n">
        <v>1</v>
      </c>
      <c r="H512" s="27" t="n">
        <v>3200</v>
      </c>
      <c r="I512" s="28" t="n">
        <v>0</v>
      </c>
      <c r="J512" s="27" t="n">
        <v>1900</v>
      </c>
      <c r="K512" s="27">
        <f>G512*H512*(1-I512)</f>
        <v/>
      </c>
      <c r="L512" s="27">
        <f>K512-G512*J512</f>
        <v/>
      </c>
    </row>
    <row r="513">
      <c r="A513" s="25" t="inlineStr">
        <is>
          <t>ORD-10903</t>
        </is>
      </c>
      <c r="B513" s="26" t="n">
        <v>45835</v>
      </c>
      <c r="C513" s="25">
        <f>MONTH(B513)</f>
        <v/>
      </c>
      <c r="D513" s="25" t="inlineStr">
        <is>
          <t>North</t>
        </is>
      </c>
      <c r="E513" s="25" t="inlineStr">
        <is>
          <t>Accessories</t>
        </is>
      </c>
      <c r="F513" s="25" t="inlineStr">
        <is>
          <t>USB-C Hub</t>
        </is>
      </c>
      <c r="G513" s="25" t="n">
        <v>3</v>
      </c>
      <c r="H513" s="27" t="n">
        <v>1800</v>
      </c>
      <c r="I513" s="28" t="n">
        <v>0</v>
      </c>
      <c r="J513" s="27" t="n">
        <v>980</v>
      </c>
      <c r="K513" s="27">
        <f>G513*H513*(1-I513)</f>
        <v/>
      </c>
      <c r="L513" s="27">
        <f>K513-G513*J513</f>
        <v/>
      </c>
    </row>
    <row r="514">
      <c r="A514" s="25" t="inlineStr">
        <is>
          <t>ORD-10960</t>
        </is>
      </c>
      <c r="B514" s="26" t="n">
        <v>45835</v>
      </c>
      <c r="C514" s="25">
        <f>MONTH(B514)</f>
        <v/>
      </c>
      <c r="D514" s="25" t="inlineStr">
        <is>
          <t>North</t>
        </is>
      </c>
      <c r="E514" s="25" t="inlineStr">
        <is>
          <t>Office Supplies</t>
        </is>
      </c>
      <c r="F514" s="25" t="inlineStr">
        <is>
          <t>Notebook Set</t>
        </is>
      </c>
      <c r="G514" s="25" t="n">
        <v>3</v>
      </c>
      <c r="H514" s="27" t="n">
        <v>450</v>
      </c>
      <c r="I514" s="28" t="n">
        <v>0.05</v>
      </c>
      <c r="J514" s="27" t="n">
        <v>190</v>
      </c>
      <c r="K514" s="27">
        <f>G514*H514*(1-I514)</f>
        <v/>
      </c>
      <c r="L514" s="27">
        <f>K514-G514*J514</f>
        <v/>
      </c>
    </row>
    <row r="515">
      <c r="A515" s="25" t="inlineStr">
        <is>
          <t>ORD-11196</t>
        </is>
      </c>
      <c r="B515" s="26" t="n">
        <v>45835</v>
      </c>
      <c r="C515" s="25">
        <f>MONTH(B515)</f>
        <v/>
      </c>
      <c r="D515" s="25" t="inlineStr">
        <is>
          <t>South</t>
        </is>
      </c>
      <c r="E515" s="25" t="inlineStr">
        <is>
          <t>Technology</t>
        </is>
      </c>
      <c r="F515" s="25" t="inlineStr">
        <is>
          <t>Wireless Mouse</t>
        </is>
      </c>
      <c r="G515" s="25" t="n">
        <v>2</v>
      </c>
      <c r="H515" s="27" t="n">
        <v>1200</v>
      </c>
      <c r="I515" s="28" t="n">
        <v>0.2</v>
      </c>
      <c r="J515" s="27" t="n">
        <v>650</v>
      </c>
      <c r="K515" s="27">
        <f>G515*H515*(1-I515)</f>
        <v/>
      </c>
      <c r="L515" s="27">
        <f>K515-G515*J515</f>
        <v/>
      </c>
    </row>
    <row r="516">
      <c r="A516" s="25" t="inlineStr">
        <is>
          <t>ORD-10031</t>
        </is>
      </c>
      <c r="B516" s="26" t="n">
        <v>45836</v>
      </c>
      <c r="C516" s="25">
        <f>MONTH(B516)</f>
        <v/>
      </c>
      <c r="D516" s="25" t="inlineStr">
        <is>
          <t>East</t>
        </is>
      </c>
      <c r="E516" s="25" t="inlineStr">
        <is>
          <t>Technology</t>
        </is>
      </c>
      <c r="F516" s="25" t="inlineStr">
        <is>
          <t>Mechanical Keyboard</t>
        </is>
      </c>
      <c r="G516" s="25" t="n">
        <v>1</v>
      </c>
      <c r="H516" s="27" t="n">
        <v>4200</v>
      </c>
      <c r="I516" s="28" t="n">
        <v>0</v>
      </c>
      <c r="J516" s="27" t="n">
        <v>2500</v>
      </c>
      <c r="K516" s="27">
        <f>G516*H516*(1-I516)</f>
        <v/>
      </c>
      <c r="L516" s="27">
        <f>K516-G516*J516</f>
        <v/>
      </c>
    </row>
    <row r="517">
      <c r="A517" s="25" t="inlineStr">
        <is>
          <t>ORD-10646</t>
        </is>
      </c>
      <c r="B517" s="26" t="n">
        <v>45836</v>
      </c>
      <c r="C517" s="25">
        <f>MONTH(B517)</f>
        <v/>
      </c>
      <c r="D517" s="25" t="inlineStr">
        <is>
          <t>South</t>
        </is>
      </c>
      <c r="E517" s="25" t="inlineStr">
        <is>
          <t>Furniture</t>
        </is>
      </c>
      <c r="F517" s="25" t="inlineStr">
        <is>
          <t>Bookshelf</t>
        </is>
      </c>
      <c r="G517" s="25" t="n">
        <v>2</v>
      </c>
      <c r="H517" s="27" t="n">
        <v>6200</v>
      </c>
      <c r="I517" s="28" t="n">
        <v>0.1</v>
      </c>
      <c r="J517" s="27" t="n">
        <v>4100</v>
      </c>
      <c r="K517" s="27">
        <f>G517*H517*(1-I517)</f>
        <v/>
      </c>
      <c r="L517" s="27">
        <f>K517-G517*J517</f>
        <v/>
      </c>
    </row>
    <row r="518">
      <c r="A518" s="25" t="inlineStr">
        <is>
          <t>ORD-10745</t>
        </is>
      </c>
      <c r="B518" s="26" t="n">
        <v>45836</v>
      </c>
      <c r="C518" s="25">
        <f>MONTH(B518)</f>
        <v/>
      </c>
      <c r="D518" s="25" t="inlineStr">
        <is>
          <t>East</t>
        </is>
      </c>
      <c r="E518" s="25" t="inlineStr">
        <is>
          <t>Office Supplies</t>
        </is>
      </c>
      <c r="F518" s="25" t="inlineStr">
        <is>
          <t>Notebook Set</t>
        </is>
      </c>
      <c r="G518" s="25" t="n">
        <v>2</v>
      </c>
      <c r="H518" s="27" t="n">
        <v>450</v>
      </c>
      <c r="I518" s="28" t="n">
        <v>0.2</v>
      </c>
      <c r="J518" s="27" t="n">
        <v>190</v>
      </c>
      <c r="K518" s="27">
        <f>G518*H518*(1-I518)</f>
        <v/>
      </c>
      <c r="L518" s="27">
        <f>K518-G518*J518</f>
        <v/>
      </c>
    </row>
    <row r="519">
      <c r="A519" s="25" t="inlineStr">
        <is>
          <t>ORD-10638</t>
        </is>
      </c>
      <c r="B519" s="26" t="n">
        <v>45839</v>
      </c>
      <c r="C519" s="25">
        <f>MONTH(B519)</f>
        <v/>
      </c>
      <c r="D519" s="25" t="inlineStr">
        <is>
          <t>North</t>
        </is>
      </c>
      <c r="E519" s="25" t="inlineStr">
        <is>
          <t>Furniture</t>
        </is>
      </c>
      <c r="F519" s="25" t="inlineStr">
        <is>
          <t>Bookshelf</t>
        </is>
      </c>
      <c r="G519" s="25" t="n">
        <v>3</v>
      </c>
      <c r="H519" s="27" t="n">
        <v>6200</v>
      </c>
      <c r="I519" s="28" t="n">
        <v>0</v>
      </c>
      <c r="J519" s="27" t="n">
        <v>4100</v>
      </c>
      <c r="K519" s="27">
        <f>G519*H519*(1-I519)</f>
        <v/>
      </c>
      <c r="L519" s="27">
        <f>K519-G519*J519</f>
        <v/>
      </c>
    </row>
    <row r="520">
      <c r="A520" s="25" t="inlineStr">
        <is>
          <t>ORD-10795</t>
        </is>
      </c>
      <c r="B520" s="26" t="n">
        <v>45839</v>
      </c>
      <c r="C520" s="25">
        <f>MONTH(B520)</f>
        <v/>
      </c>
      <c r="D520" s="25" t="inlineStr">
        <is>
          <t>South</t>
        </is>
      </c>
      <c r="E520" s="25" t="inlineStr">
        <is>
          <t>Office Supplies</t>
        </is>
      </c>
      <c r="F520" s="25" t="inlineStr">
        <is>
          <t>Desk Organizer</t>
        </is>
      </c>
      <c r="G520" s="25" t="n">
        <v>3</v>
      </c>
      <c r="H520" s="27" t="n">
        <v>850</v>
      </c>
      <c r="I520" s="28" t="n">
        <v>0.15</v>
      </c>
      <c r="J520" s="27" t="n">
        <v>420</v>
      </c>
      <c r="K520" s="27">
        <f>G520*H520*(1-I520)</f>
        <v/>
      </c>
      <c r="L520" s="27">
        <f>K520-G520*J520</f>
        <v/>
      </c>
    </row>
    <row r="521">
      <c r="A521" s="25" t="inlineStr">
        <is>
          <t>ORD-10370</t>
        </is>
      </c>
      <c r="B521" s="26" t="n">
        <v>45840</v>
      </c>
      <c r="C521" s="25">
        <f>MONTH(B521)</f>
        <v/>
      </c>
      <c r="D521" s="25" t="inlineStr">
        <is>
          <t>North</t>
        </is>
      </c>
      <c r="E521" s="25" t="inlineStr">
        <is>
          <t>Technology</t>
        </is>
      </c>
      <c r="F521" s="25" t="inlineStr">
        <is>
          <t>Monitor 24"</t>
        </is>
      </c>
      <c r="G521" s="25" t="n">
        <v>2</v>
      </c>
      <c r="H521" s="27" t="n">
        <v>11500</v>
      </c>
      <c r="I521" s="28" t="n">
        <v>0.05</v>
      </c>
      <c r="J521" s="27" t="n">
        <v>8200</v>
      </c>
      <c r="K521" s="27">
        <f>G521*H521*(1-I521)</f>
        <v/>
      </c>
      <c r="L521" s="27">
        <f>K521-G521*J521</f>
        <v/>
      </c>
    </row>
    <row r="522">
      <c r="A522" s="25" t="inlineStr">
        <is>
          <t>ORD-11042</t>
        </is>
      </c>
      <c r="B522" s="26" t="n">
        <v>45840</v>
      </c>
      <c r="C522" s="25">
        <f>MONTH(B522)</f>
        <v/>
      </c>
      <c r="D522" s="25" t="inlineStr">
        <is>
          <t>North</t>
        </is>
      </c>
      <c r="E522" s="25" t="inlineStr">
        <is>
          <t>Accessories</t>
        </is>
      </c>
      <c r="F522" s="25" t="inlineStr">
        <is>
          <t>Webcam</t>
        </is>
      </c>
      <c r="G522" s="25" t="n">
        <v>1</v>
      </c>
      <c r="H522" s="27" t="n">
        <v>3200</v>
      </c>
      <c r="I522" s="28" t="n">
        <v>0.2</v>
      </c>
      <c r="J522" s="27" t="n">
        <v>1900</v>
      </c>
      <c r="K522" s="27">
        <f>G522*H522*(1-I522)</f>
        <v/>
      </c>
      <c r="L522" s="27">
        <f>K522-G522*J522</f>
        <v/>
      </c>
    </row>
    <row r="523">
      <c r="A523" s="25" t="inlineStr">
        <is>
          <t>ORD-11160</t>
        </is>
      </c>
      <c r="B523" s="26" t="n">
        <v>45840</v>
      </c>
      <c r="C523" s="25">
        <f>MONTH(B523)</f>
        <v/>
      </c>
      <c r="D523" s="25" t="inlineStr">
        <is>
          <t>North</t>
        </is>
      </c>
      <c r="E523" s="25" t="inlineStr">
        <is>
          <t>Office Supplies</t>
        </is>
      </c>
      <c r="F523" s="25" t="inlineStr">
        <is>
          <t>Notebook Set</t>
        </is>
      </c>
      <c r="G523" s="25" t="n">
        <v>3</v>
      </c>
      <c r="H523" s="27" t="n">
        <v>450</v>
      </c>
      <c r="I523" s="28" t="n">
        <v>0</v>
      </c>
      <c r="J523" s="27" t="n">
        <v>190</v>
      </c>
      <c r="K523" s="27">
        <f>G523*H523*(1-I523)</f>
        <v/>
      </c>
      <c r="L523" s="27">
        <f>K523-G523*J523</f>
        <v/>
      </c>
    </row>
    <row r="524">
      <c r="A524" s="25" t="inlineStr">
        <is>
          <t>ORD-11004</t>
        </is>
      </c>
      <c r="B524" s="26" t="n">
        <v>45841</v>
      </c>
      <c r="C524" s="25">
        <f>MONTH(B524)</f>
        <v/>
      </c>
      <c r="D524" s="25" t="inlineStr">
        <is>
          <t>West</t>
        </is>
      </c>
      <c r="E524" s="25" t="inlineStr">
        <is>
          <t>Accessories</t>
        </is>
      </c>
      <c r="F524" s="25" t="inlineStr">
        <is>
          <t>USB-C Hub</t>
        </is>
      </c>
      <c r="G524" s="25" t="n">
        <v>1</v>
      </c>
      <c r="H524" s="27" t="n">
        <v>1800</v>
      </c>
      <c r="I524" s="28" t="n">
        <v>0</v>
      </c>
      <c r="J524" s="27" t="n">
        <v>980</v>
      </c>
      <c r="K524" s="27">
        <f>G524*H524*(1-I524)</f>
        <v/>
      </c>
      <c r="L524" s="27">
        <f>K524-G524*J524</f>
        <v/>
      </c>
    </row>
    <row r="525">
      <c r="A525" s="25" t="inlineStr">
        <is>
          <t>ORD-10010</t>
        </is>
      </c>
      <c r="B525" s="26" t="n">
        <v>45842</v>
      </c>
      <c r="C525" s="25">
        <f>MONTH(B525)</f>
        <v/>
      </c>
      <c r="D525" s="25" t="inlineStr">
        <is>
          <t>East</t>
        </is>
      </c>
      <c r="E525" s="25" t="inlineStr">
        <is>
          <t>Technology</t>
        </is>
      </c>
      <c r="F525" s="25" t="inlineStr">
        <is>
          <t>Mechanical Keyboard</t>
        </is>
      </c>
      <c r="G525" s="25" t="n">
        <v>2</v>
      </c>
      <c r="H525" s="27" t="n">
        <v>4200</v>
      </c>
      <c r="I525" s="28" t="n">
        <v>0.1</v>
      </c>
      <c r="J525" s="27" t="n">
        <v>2500</v>
      </c>
      <c r="K525" s="27">
        <f>G525*H525*(1-I525)</f>
        <v/>
      </c>
      <c r="L525" s="27">
        <f>K525-G525*J525</f>
        <v/>
      </c>
    </row>
    <row r="526">
      <c r="A526" s="25" t="inlineStr">
        <is>
          <t>ORD-10182</t>
        </is>
      </c>
      <c r="B526" s="26" t="n">
        <v>45842</v>
      </c>
      <c r="C526" s="25">
        <f>MONTH(B526)</f>
        <v/>
      </c>
      <c r="D526" s="25" t="inlineStr">
        <is>
          <t>South</t>
        </is>
      </c>
      <c r="E526" s="25" t="inlineStr">
        <is>
          <t>Office Supplies</t>
        </is>
      </c>
      <c r="F526" s="25" t="inlineStr">
        <is>
          <t>Printer Paper Box</t>
        </is>
      </c>
      <c r="G526" s="25" t="n">
        <v>6</v>
      </c>
      <c r="H526" s="27" t="n">
        <v>1600</v>
      </c>
      <c r="I526" s="28" t="n">
        <v>0</v>
      </c>
      <c r="J526" s="27" t="n">
        <v>1050</v>
      </c>
      <c r="K526" s="27">
        <f>G526*H526*(1-I526)</f>
        <v/>
      </c>
      <c r="L526" s="27">
        <f>K526-G526*J526</f>
        <v/>
      </c>
    </row>
    <row r="527">
      <c r="A527" s="25" t="inlineStr">
        <is>
          <t>ORD-10995</t>
        </is>
      </c>
      <c r="B527" s="26" t="n">
        <v>45842</v>
      </c>
      <c r="C527" s="25">
        <f>MONTH(B527)</f>
        <v/>
      </c>
      <c r="D527" s="25" t="inlineStr">
        <is>
          <t>East</t>
        </is>
      </c>
      <c r="E527" s="25" t="inlineStr">
        <is>
          <t>Office Supplies</t>
        </is>
      </c>
      <c r="F527" s="25" t="inlineStr">
        <is>
          <t>Desk Organizer</t>
        </is>
      </c>
      <c r="G527" s="25" t="n">
        <v>5</v>
      </c>
      <c r="H527" s="27" t="n">
        <v>850</v>
      </c>
      <c r="I527" s="28" t="n">
        <v>0.05</v>
      </c>
      <c r="J527" s="27" t="n">
        <v>420</v>
      </c>
      <c r="K527" s="27">
        <f>G527*H527*(1-I527)</f>
        <v/>
      </c>
      <c r="L527" s="27">
        <f>K527-G527*J527</f>
        <v/>
      </c>
    </row>
    <row r="528">
      <c r="A528" s="25" t="inlineStr">
        <is>
          <t>ORD-11169</t>
        </is>
      </c>
      <c r="B528" s="26" t="n">
        <v>45842</v>
      </c>
      <c r="C528" s="25">
        <f>MONTH(B528)</f>
        <v/>
      </c>
      <c r="D528" s="25" t="inlineStr">
        <is>
          <t>South</t>
        </is>
      </c>
      <c r="E528" s="25" t="inlineStr">
        <is>
          <t>Technology</t>
        </is>
      </c>
      <c r="F528" s="25" t="inlineStr">
        <is>
          <t>Monitor 24"</t>
        </is>
      </c>
      <c r="G528" s="25" t="n">
        <v>1</v>
      </c>
      <c r="H528" s="27" t="n">
        <v>11500</v>
      </c>
      <c r="I528" s="28" t="n">
        <v>0</v>
      </c>
      <c r="J528" s="27" t="n">
        <v>8200</v>
      </c>
      <c r="K528" s="27">
        <f>G528*H528*(1-I528)</f>
        <v/>
      </c>
      <c r="L528" s="27">
        <f>K528-G528*J528</f>
        <v/>
      </c>
    </row>
    <row r="529">
      <c r="A529" s="25" t="inlineStr">
        <is>
          <t>ORD-10144</t>
        </is>
      </c>
      <c r="B529" s="26" t="n">
        <v>45843</v>
      </c>
      <c r="C529" s="25">
        <f>MONTH(B529)</f>
        <v/>
      </c>
      <c r="D529" s="25" t="inlineStr">
        <is>
          <t>West</t>
        </is>
      </c>
      <c r="E529" s="25" t="inlineStr">
        <is>
          <t>Office Supplies</t>
        </is>
      </c>
      <c r="F529" s="25" t="inlineStr">
        <is>
          <t>Printer Paper Box</t>
        </is>
      </c>
      <c r="G529" s="25" t="n">
        <v>5</v>
      </c>
      <c r="H529" s="27" t="n">
        <v>1600</v>
      </c>
      <c r="I529" s="28" t="n">
        <v>0</v>
      </c>
      <c r="J529" s="27" t="n">
        <v>1050</v>
      </c>
      <c r="K529" s="27">
        <f>G529*H529*(1-I529)</f>
        <v/>
      </c>
      <c r="L529" s="27">
        <f>K529-G529*J529</f>
        <v/>
      </c>
    </row>
    <row r="530">
      <c r="A530" s="25" t="inlineStr">
        <is>
          <t>ORD-11099</t>
        </is>
      </c>
      <c r="B530" s="26" t="n">
        <v>45843</v>
      </c>
      <c r="C530" s="25">
        <f>MONTH(B530)</f>
        <v/>
      </c>
      <c r="D530" s="25" t="inlineStr">
        <is>
          <t>East</t>
        </is>
      </c>
      <c r="E530" s="25" t="inlineStr">
        <is>
          <t>Accessories</t>
        </is>
      </c>
      <c r="F530" s="25" t="inlineStr">
        <is>
          <t>Webcam</t>
        </is>
      </c>
      <c r="G530" s="25" t="n">
        <v>1</v>
      </c>
      <c r="H530" s="27" t="n">
        <v>3200</v>
      </c>
      <c r="I530" s="28" t="n">
        <v>0.2</v>
      </c>
      <c r="J530" s="27" t="n">
        <v>1900</v>
      </c>
      <c r="K530" s="27">
        <f>G530*H530*(1-I530)</f>
        <v/>
      </c>
      <c r="L530" s="27">
        <f>K530-G530*J530</f>
        <v/>
      </c>
    </row>
    <row r="531">
      <c r="A531" s="25" t="inlineStr">
        <is>
          <t>ORD-10156</t>
        </is>
      </c>
      <c r="B531" s="26" t="n">
        <v>45844</v>
      </c>
      <c r="C531" s="25">
        <f>MONTH(B531)</f>
        <v/>
      </c>
      <c r="D531" s="25" t="inlineStr">
        <is>
          <t>West</t>
        </is>
      </c>
      <c r="E531" s="25" t="inlineStr">
        <is>
          <t>Furniture</t>
        </is>
      </c>
      <c r="F531" s="25" t="inlineStr">
        <is>
          <t>Standing Desk</t>
        </is>
      </c>
      <c r="G531" s="25" t="n">
        <v>1</v>
      </c>
      <c r="H531" s="27" t="n">
        <v>19500</v>
      </c>
      <c r="I531" s="28" t="n">
        <v>0</v>
      </c>
      <c r="J531" s="27" t="n">
        <v>13800</v>
      </c>
      <c r="K531" s="27">
        <f>G531*H531*(1-I531)</f>
        <v/>
      </c>
      <c r="L531" s="27">
        <f>K531-G531*J531</f>
        <v/>
      </c>
    </row>
    <row r="532">
      <c r="A532" s="25" t="inlineStr">
        <is>
          <t>ORD-10606</t>
        </is>
      </c>
      <c r="B532" s="26" t="n">
        <v>45845</v>
      </c>
      <c r="C532" s="25">
        <f>MONTH(B532)</f>
        <v/>
      </c>
      <c r="D532" s="25" t="inlineStr">
        <is>
          <t>North</t>
        </is>
      </c>
      <c r="E532" s="25" t="inlineStr">
        <is>
          <t>Office Supplies</t>
        </is>
      </c>
      <c r="F532" s="25" t="inlineStr">
        <is>
          <t>Notebook Set</t>
        </is>
      </c>
      <c r="G532" s="25" t="n">
        <v>4</v>
      </c>
      <c r="H532" s="27" t="n">
        <v>450</v>
      </c>
      <c r="I532" s="28" t="n">
        <v>0.2</v>
      </c>
      <c r="J532" s="27" t="n">
        <v>190</v>
      </c>
      <c r="K532" s="27">
        <f>G532*H532*(1-I532)</f>
        <v/>
      </c>
      <c r="L532" s="27">
        <f>K532-G532*J532</f>
        <v/>
      </c>
    </row>
    <row r="533">
      <c r="A533" s="25" t="inlineStr">
        <is>
          <t>ORD-11074</t>
        </is>
      </c>
      <c r="B533" s="26" t="n">
        <v>45845</v>
      </c>
      <c r="C533" s="25">
        <f>MONTH(B533)</f>
        <v/>
      </c>
      <c r="D533" s="25" t="inlineStr">
        <is>
          <t>North</t>
        </is>
      </c>
      <c r="E533" s="25" t="inlineStr">
        <is>
          <t>Technology</t>
        </is>
      </c>
      <c r="F533" s="25" t="inlineStr">
        <is>
          <t>Monitor 24"</t>
        </is>
      </c>
      <c r="G533" s="25" t="n">
        <v>2</v>
      </c>
      <c r="H533" s="27" t="n">
        <v>11500</v>
      </c>
      <c r="I533" s="28" t="n">
        <v>0.2</v>
      </c>
      <c r="J533" s="27" t="n">
        <v>8200</v>
      </c>
      <c r="K533" s="27">
        <f>G533*H533*(1-I533)</f>
        <v/>
      </c>
      <c r="L533" s="27">
        <f>K533-G533*J533</f>
        <v/>
      </c>
    </row>
    <row r="534">
      <c r="A534" s="25" t="inlineStr">
        <is>
          <t>ORD-11145</t>
        </is>
      </c>
      <c r="B534" s="26" t="n">
        <v>45845</v>
      </c>
      <c r="C534" s="25">
        <f>MONTH(B534)</f>
        <v/>
      </c>
      <c r="D534" s="25" t="inlineStr">
        <is>
          <t>South</t>
        </is>
      </c>
      <c r="E534" s="25" t="inlineStr">
        <is>
          <t>Technology</t>
        </is>
      </c>
      <c r="F534" s="25" t="inlineStr">
        <is>
          <t>Wireless Mouse</t>
        </is>
      </c>
      <c r="G534" s="25" t="n">
        <v>5</v>
      </c>
      <c r="H534" s="27" t="n">
        <v>1200</v>
      </c>
      <c r="I534" s="28" t="n">
        <v>0.1</v>
      </c>
      <c r="J534" s="27" t="n">
        <v>650</v>
      </c>
      <c r="K534" s="27">
        <f>G534*H534*(1-I534)</f>
        <v/>
      </c>
      <c r="L534" s="27">
        <f>K534-G534*J534</f>
        <v/>
      </c>
    </row>
    <row r="535">
      <c r="A535" s="25" t="inlineStr">
        <is>
          <t>ORD-11197</t>
        </is>
      </c>
      <c r="B535" s="26" t="n">
        <v>45845</v>
      </c>
      <c r="C535" s="25">
        <f>MONTH(B535)</f>
        <v/>
      </c>
      <c r="D535" s="25" t="inlineStr">
        <is>
          <t>North</t>
        </is>
      </c>
      <c r="E535" s="25" t="inlineStr">
        <is>
          <t>Technology</t>
        </is>
      </c>
      <c r="F535" s="25" t="inlineStr">
        <is>
          <t>Wireless Mouse</t>
        </is>
      </c>
      <c r="G535" s="25" t="n">
        <v>5</v>
      </c>
      <c r="H535" s="27" t="n">
        <v>1200</v>
      </c>
      <c r="I535" s="28" t="n">
        <v>0.05</v>
      </c>
      <c r="J535" s="27" t="n">
        <v>650</v>
      </c>
      <c r="K535" s="27">
        <f>G535*H535*(1-I535)</f>
        <v/>
      </c>
      <c r="L535" s="27">
        <f>K535-G535*J535</f>
        <v/>
      </c>
    </row>
    <row r="536">
      <c r="A536" s="25" t="inlineStr">
        <is>
          <t>ORD-10170</t>
        </is>
      </c>
      <c r="B536" s="26" t="n">
        <v>45846</v>
      </c>
      <c r="C536" s="25">
        <f>MONTH(B536)</f>
        <v/>
      </c>
      <c r="D536" s="25" t="inlineStr">
        <is>
          <t>South</t>
        </is>
      </c>
      <c r="E536" s="25" t="inlineStr">
        <is>
          <t>Furniture</t>
        </is>
      </c>
      <c r="F536" s="25" t="inlineStr">
        <is>
          <t>Bookshelf</t>
        </is>
      </c>
      <c r="G536" s="25" t="n">
        <v>2</v>
      </c>
      <c r="H536" s="27" t="n">
        <v>6200</v>
      </c>
      <c r="I536" s="28" t="n">
        <v>0.15</v>
      </c>
      <c r="J536" s="27" t="n">
        <v>4100</v>
      </c>
      <c r="K536" s="27">
        <f>G536*H536*(1-I536)</f>
        <v/>
      </c>
      <c r="L536" s="27">
        <f>K536-G536*J536</f>
        <v/>
      </c>
    </row>
    <row r="537">
      <c r="A537" s="25" t="inlineStr">
        <is>
          <t>ORD-10270</t>
        </is>
      </c>
      <c r="B537" s="26" t="n">
        <v>45846</v>
      </c>
      <c r="C537" s="25">
        <f>MONTH(B537)</f>
        <v/>
      </c>
      <c r="D537" s="25" t="inlineStr">
        <is>
          <t>North</t>
        </is>
      </c>
      <c r="E537" s="25" t="inlineStr">
        <is>
          <t>Furniture</t>
        </is>
      </c>
      <c r="F537" s="25" t="inlineStr">
        <is>
          <t>Bookshelf</t>
        </is>
      </c>
      <c r="G537" s="25" t="n">
        <v>3</v>
      </c>
      <c r="H537" s="27" t="n">
        <v>6200</v>
      </c>
      <c r="I537" s="28" t="n">
        <v>0.1</v>
      </c>
      <c r="J537" s="27" t="n">
        <v>4100</v>
      </c>
      <c r="K537" s="27">
        <f>G537*H537*(1-I537)</f>
        <v/>
      </c>
      <c r="L537" s="27">
        <f>K537-G537*J537</f>
        <v/>
      </c>
    </row>
    <row r="538">
      <c r="A538" s="25" t="inlineStr">
        <is>
          <t>ORD-10395</t>
        </is>
      </c>
      <c r="B538" s="26" t="n">
        <v>45846</v>
      </c>
      <c r="C538" s="25">
        <f>MONTH(B538)</f>
        <v/>
      </c>
      <c r="D538" s="25" t="inlineStr">
        <is>
          <t>West</t>
        </is>
      </c>
      <c r="E538" s="25" t="inlineStr">
        <is>
          <t>Accessories</t>
        </is>
      </c>
      <c r="F538" s="25" t="inlineStr">
        <is>
          <t>Headphones</t>
        </is>
      </c>
      <c r="G538" s="25" t="n">
        <v>2</v>
      </c>
      <c r="H538" s="27" t="n">
        <v>4500</v>
      </c>
      <c r="I538" s="28" t="n">
        <v>0.05</v>
      </c>
      <c r="J538" s="27" t="n">
        <v>2600</v>
      </c>
      <c r="K538" s="27">
        <f>G538*H538*(1-I538)</f>
        <v/>
      </c>
      <c r="L538" s="27">
        <f>K538-G538*J538</f>
        <v/>
      </c>
    </row>
    <row r="539">
      <c r="A539" s="25" t="inlineStr">
        <is>
          <t>ORD-10405</t>
        </is>
      </c>
      <c r="B539" s="26" t="n">
        <v>45846</v>
      </c>
      <c r="C539" s="25">
        <f>MONTH(B539)</f>
        <v/>
      </c>
      <c r="D539" s="25" t="inlineStr">
        <is>
          <t>West</t>
        </is>
      </c>
      <c r="E539" s="25" t="inlineStr">
        <is>
          <t>Furniture</t>
        </is>
      </c>
      <c r="F539" s="25" t="inlineStr">
        <is>
          <t>Bookshelf</t>
        </is>
      </c>
      <c r="G539" s="25" t="n">
        <v>2</v>
      </c>
      <c r="H539" s="27" t="n">
        <v>6200</v>
      </c>
      <c r="I539" s="28" t="n">
        <v>0.1</v>
      </c>
      <c r="J539" s="27" t="n">
        <v>4100</v>
      </c>
      <c r="K539" s="27">
        <f>G539*H539*(1-I539)</f>
        <v/>
      </c>
      <c r="L539" s="27">
        <f>K539-G539*J539</f>
        <v/>
      </c>
    </row>
    <row r="540">
      <c r="A540" s="25" t="inlineStr">
        <is>
          <t>ORD-10689</t>
        </is>
      </c>
      <c r="B540" s="26" t="n">
        <v>45846</v>
      </c>
      <c r="C540" s="25">
        <f>MONTH(B540)</f>
        <v/>
      </c>
      <c r="D540" s="25" t="inlineStr">
        <is>
          <t>South</t>
        </is>
      </c>
      <c r="E540" s="25" t="inlineStr">
        <is>
          <t>Office Supplies</t>
        </is>
      </c>
      <c r="F540" s="25" t="inlineStr">
        <is>
          <t>Notebook Set</t>
        </is>
      </c>
      <c r="G540" s="25" t="n">
        <v>4</v>
      </c>
      <c r="H540" s="27" t="n">
        <v>450</v>
      </c>
      <c r="I540" s="28" t="n">
        <v>0.2</v>
      </c>
      <c r="J540" s="27" t="n">
        <v>190</v>
      </c>
      <c r="K540" s="27">
        <f>G540*H540*(1-I540)</f>
        <v/>
      </c>
      <c r="L540" s="27">
        <f>K540-G540*J540</f>
        <v/>
      </c>
    </row>
    <row r="541">
      <c r="A541" s="25" t="inlineStr">
        <is>
          <t>ORD-10811</t>
        </is>
      </c>
      <c r="B541" s="26" t="n">
        <v>45846</v>
      </c>
      <c r="C541" s="25">
        <f>MONTH(B541)</f>
        <v/>
      </c>
      <c r="D541" s="25" t="inlineStr">
        <is>
          <t>East</t>
        </is>
      </c>
      <c r="E541" s="25" t="inlineStr">
        <is>
          <t>Furniture</t>
        </is>
      </c>
      <c r="F541" s="25" t="inlineStr">
        <is>
          <t>Standing Desk</t>
        </is>
      </c>
      <c r="G541" s="25" t="n">
        <v>2</v>
      </c>
      <c r="H541" s="27" t="n">
        <v>19500</v>
      </c>
      <c r="I541" s="28" t="n">
        <v>0.1</v>
      </c>
      <c r="J541" s="27" t="n">
        <v>13800</v>
      </c>
      <c r="K541" s="27">
        <f>G541*H541*(1-I541)</f>
        <v/>
      </c>
      <c r="L541" s="27">
        <f>K541-G541*J541</f>
        <v/>
      </c>
    </row>
    <row r="542">
      <c r="A542" s="25" t="inlineStr">
        <is>
          <t>ORD-10958</t>
        </is>
      </c>
      <c r="B542" s="26" t="n">
        <v>45846</v>
      </c>
      <c r="C542" s="25">
        <f>MONTH(B542)</f>
        <v/>
      </c>
      <c r="D542" s="25" t="inlineStr">
        <is>
          <t>West</t>
        </is>
      </c>
      <c r="E542" s="25" t="inlineStr">
        <is>
          <t>Office Supplies</t>
        </is>
      </c>
      <c r="F542" s="25" t="inlineStr">
        <is>
          <t>Desk Organizer</t>
        </is>
      </c>
      <c r="G542" s="25" t="n">
        <v>5</v>
      </c>
      <c r="H542" s="27" t="n">
        <v>850</v>
      </c>
      <c r="I542" s="28" t="n">
        <v>0.2</v>
      </c>
      <c r="J542" s="27" t="n">
        <v>420</v>
      </c>
      <c r="K542" s="27">
        <f>G542*H542*(1-I542)</f>
        <v/>
      </c>
      <c r="L542" s="27">
        <f>K542-G542*J542</f>
        <v/>
      </c>
    </row>
    <row r="543">
      <c r="A543" s="25" t="inlineStr">
        <is>
          <t>ORD-11102</t>
        </is>
      </c>
      <c r="B543" s="26" t="n">
        <v>45846</v>
      </c>
      <c r="C543" s="25">
        <f>MONTH(B543)</f>
        <v/>
      </c>
      <c r="D543" s="25" t="inlineStr">
        <is>
          <t>South</t>
        </is>
      </c>
      <c r="E543" s="25" t="inlineStr">
        <is>
          <t>Furniture</t>
        </is>
      </c>
      <c r="F543" s="25" t="inlineStr">
        <is>
          <t>Office Chair</t>
        </is>
      </c>
      <c r="G543" s="25" t="n">
        <v>2</v>
      </c>
      <c r="H543" s="27" t="n">
        <v>8500</v>
      </c>
      <c r="I543" s="28" t="n">
        <v>0.15</v>
      </c>
      <c r="J543" s="27" t="n">
        <v>5600</v>
      </c>
      <c r="K543" s="27">
        <f>G543*H543*(1-I543)</f>
        <v/>
      </c>
      <c r="L543" s="27">
        <f>K543-G543*J543</f>
        <v/>
      </c>
    </row>
    <row r="544">
      <c r="A544" s="25" t="inlineStr">
        <is>
          <t>ORD-10248</t>
        </is>
      </c>
      <c r="B544" s="26" t="n">
        <v>45847</v>
      </c>
      <c r="C544" s="25">
        <f>MONTH(B544)</f>
        <v/>
      </c>
      <c r="D544" s="25" t="inlineStr">
        <is>
          <t>East</t>
        </is>
      </c>
      <c r="E544" s="25" t="inlineStr">
        <is>
          <t>Technology</t>
        </is>
      </c>
      <c r="F544" s="25" t="inlineStr">
        <is>
          <t>Monitor 24"</t>
        </is>
      </c>
      <c r="G544" s="25" t="n">
        <v>2</v>
      </c>
      <c r="H544" s="27" t="n">
        <v>11500</v>
      </c>
      <c r="I544" s="28" t="n">
        <v>0.15</v>
      </c>
      <c r="J544" s="27" t="n">
        <v>8200</v>
      </c>
      <c r="K544" s="27">
        <f>G544*H544*(1-I544)</f>
        <v/>
      </c>
      <c r="L544" s="27">
        <f>K544-G544*J544</f>
        <v/>
      </c>
    </row>
    <row r="545">
      <c r="A545" s="25" t="inlineStr">
        <is>
          <t>ORD-10658</t>
        </is>
      </c>
      <c r="B545" s="26" t="n">
        <v>45848</v>
      </c>
      <c r="C545" s="25">
        <f>MONTH(B545)</f>
        <v/>
      </c>
      <c r="D545" s="25" t="inlineStr">
        <is>
          <t>West</t>
        </is>
      </c>
      <c r="E545" s="25" t="inlineStr">
        <is>
          <t>Office Supplies</t>
        </is>
      </c>
      <c r="F545" s="25" t="inlineStr">
        <is>
          <t>Printer Paper Box</t>
        </is>
      </c>
      <c r="G545" s="25" t="n">
        <v>4</v>
      </c>
      <c r="H545" s="27" t="n">
        <v>1600</v>
      </c>
      <c r="I545" s="28" t="n">
        <v>0.1</v>
      </c>
      <c r="J545" s="27" t="n">
        <v>1050</v>
      </c>
      <c r="K545" s="27">
        <f>G545*H545*(1-I545)</f>
        <v/>
      </c>
      <c r="L545" s="27">
        <f>K545-G545*J545</f>
        <v/>
      </c>
    </row>
    <row r="546">
      <c r="A546" s="25" t="inlineStr">
        <is>
          <t>ORD-10603</t>
        </is>
      </c>
      <c r="B546" s="26" t="n">
        <v>45849</v>
      </c>
      <c r="C546" s="25">
        <f>MONTH(B546)</f>
        <v/>
      </c>
      <c r="D546" s="25" t="inlineStr">
        <is>
          <t>West</t>
        </is>
      </c>
      <c r="E546" s="25" t="inlineStr">
        <is>
          <t>Accessories</t>
        </is>
      </c>
      <c r="F546" s="25" t="inlineStr">
        <is>
          <t>USB-C Hub</t>
        </is>
      </c>
      <c r="G546" s="25" t="n">
        <v>1</v>
      </c>
      <c r="H546" s="27" t="n">
        <v>1800</v>
      </c>
      <c r="I546" s="28" t="n">
        <v>0.2</v>
      </c>
      <c r="J546" s="27" t="n">
        <v>980</v>
      </c>
      <c r="K546" s="27">
        <f>G546*H546*(1-I546)</f>
        <v/>
      </c>
      <c r="L546" s="27">
        <f>K546-G546*J546</f>
        <v/>
      </c>
    </row>
    <row r="547">
      <c r="A547" s="25" t="inlineStr">
        <is>
          <t>ORD-10699</t>
        </is>
      </c>
      <c r="B547" s="26" t="n">
        <v>45849</v>
      </c>
      <c r="C547" s="25">
        <f>MONTH(B547)</f>
        <v/>
      </c>
      <c r="D547" s="25" t="inlineStr">
        <is>
          <t>West</t>
        </is>
      </c>
      <c r="E547" s="25" t="inlineStr">
        <is>
          <t>Technology</t>
        </is>
      </c>
      <c r="F547" s="25" t="inlineStr">
        <is>
          <t>Wireless Mouse</t>
        </is>
      </c>
      <c r="G547" s="25" t="n">
        <v>5</v>
      </c>
      <c r="H547" s="27" t="n">
        <v>1200</v>
      </c>
      <c r="I547" s="28" t="n">
        <v>0.15</v>
      </c>
      <c r="J547" s="27" t="n">
        <v>650</v>
      </c>
      <c r="K547" s="27">
        <f>G547*H547*(1-I547)</f>
        <v/>
      </c>
      <c r="L547" s="27">
        <f>K547-G547*J547</f>
        <v/>
      </c>
    </row>
    <row r="548">
      <c r="A548" s="25" t="inlineStr">
        <is>
          <t>ORD-10869</t>
        </is>
      </c>
      <c r="B548" s="26" t="n">
        <v>45849</v>
      </c>
      <c r="C548" s="25">
        <f>MONTH(B548)</f>
        <v/>
      </c>
      <c r="D548" s="25" t="inlineStr">
        <is>
          <t>West</t>
        </is>
      </c>
      <c r="E548" s="25" t="inlineStr">
        <is>
          <t>Technology</t>
        </is>
      </c>
      <c r="F548" s="25" t="inlineStr">
        <is>
          <t>Wireless Mouse</t>
        </is>
      </c>
      <c r="G548" s="25" t="n">
        <v>2</v>
      </c>
      <c r="H548" s="27" t="n">
        <v>1200</v>
      </c>
      <c r="I548" s="28" t="n">
        <v>0</v>
      </c>
      <c r="J548" s="27" t="n">
        <v>650</v>
      </c>
      <c r="K548" s="27">
        <f>G548*H548*(1-I548)</f>
        <v/>
      </c>
      <c r="L548" s="27">
        <f>K548-G548*J548</f>
        <v/>
      </c>
    </row>
    <row r="549">
      <c r="A549" s="25" t="inlineStr">
        <is>
          <t>ORD-11029</t>
        </is>
      </c>
      <c r="B549" s="26" t="n">
        <v>45849</v>
      </c>
      <c r="C549" s="25">
        <f>MONTH(B549)</f>
        <v/>
      </c>
      <c r="D549" s="25" t="inlineStr">
        <is>
          <t>West</t>
        </is>
      </c>
      <c r="E549" s="25" t="inlineStr">
        <is>
          <t>Office Supplies</t>
        </is>
      </c>
      <c r="F549" s="25" t="inlineStr">
        <is>
          <t>Notebook Set</t>
        </is>
      </c>
      <c r="G549" s="25" t="n">
        <v>4</v>
      </c>
      <c r="H549" s="27" t="n">
        <v>450</v>
      </c>
      <c r="I549" s="28" t="n">
        <v>0.1</v>
      </c>
      <c r="J549" s="27" t="n">
        <v>190</v>
      </c>
      <c r="K549" s="27">
        <f>G549*H549*(1-I549)</f>
        <v/>
      </c>
      <c r="L549" s="27">
        <f>K549-G549*J549</f>
        <v/>
      </c>
    </row>
    <row r="550">
      <c r="A550" s="25" t="inlineStr">
        <is>
          <t>ORD-11080</t>
        </is>
      </c>
      <c r="B550" s="26" t="n">
        <v>45849</v>
      </c>
      <c r="C550" s="25">
        <f>MONTH(B550)</f>
        <v/>
      </c>
      <c r="D550" s="25" t="inlineStr">
        <is>
          <t>West</t>
        </is>
      </c>
      <c r="E550" s="25" t="inlineStr">
        <is>
          <t>Office Supplies</t>
        </is>
      </c>
      <c r="F550" s="25" t="inlineStr">
        <is>
          <t>Desk Organizer</t>
        </is>
      </c>
      <c r="G550" s="25" t="n">
        <v>5</v>
      </c>
      <c r="H550" s="27" t="n">
        <v>850</v>
      </c>
      <c r="I550" s="28" t="n">
        <v>0</v>
      </c>
      <c r="J550" s="27" t="n">
        <v>420</v>
      </c>
      <c r="K550" s="27">
        <f>G550*H550*(1-I550)</f>
        <v/>
      </c>
      <c r="L550" s="27">
        <f>K550-G550*J550</f>
        <v/>
      </c>
    </row>
    <row r="551">
      <c r="A551" s="25" t="inlineStr">
        <is>
          <t>ORD-11083</t>
        </is>
      </c>
      <c r="B551" s="26" t="n">
        <v>45849</v>
      </c>
      <c r="C551" s="25">
        <f>MONTH(B551)</f>
        <v/>
      </c>
      <c r="D551" s="25" t="inlineStr">
        <is>
          <t>West</t>
        </is>
      </c>
      <c r="E551" s="25" t="inlineStr">
        <is>
          <t>Accessories</t>
        </is>
      </c>
      <c r="F551" s="25" t="inlineStr">
        <is>
          <t>Headphones</t>
        </is>
      </c>
      <c r="G551" s="25" t="n">
        <v>3</v>
      </c>
      <c r="H551" s="27" t="n">
        <v>4500</v>
      </c>
      <c r="I551" s="28" t="n">
        <v>0</v>
      </c>
      <c r="J551" s="27" t="n">
        <v>2600</v>
      </c>
      <c r="K551" s="27">
        <f>G551*H551*(1-I551)</f>
        <v/>
      </c>
      <c r="L551" s="27">
        <f>K551-G551*J551</f>
        <v/>
      </c>
    </row>
    <row r="552">
      <c r="A552" s="25" t="inlineStr">
        <is>
          <t>ORD-10612</t>
        </is>
      </c>
      <c r="B552" s="26" t="n">
        <v>45850</v>
      </c>
      <c r="C552" s="25">
        <f>MONTH(B552)</f>
        <v/>
      </c>
      <c r="D552" s="25" t="inlineStr">
        <is>
          <t>South</t>
        </is>
      </c>
      <c r="E552" s="25" t="inlineStr">
        <is>
          <t>Accessories</t>
        </is>
      </c>
      <c r="F552" s="25" t="inlineStr">
        <is>
          <t>Headphones</t>
        </is>
      </c>
      <c r="G552" s="25" t="n">
        <v>3</v>
      </c>
      <c r="H552" s="27" t="n">
        <v>4500</v>
      </c>
      <c r="I552" s="28" t="n">
        <v>0.2</v>
      </c>
      <c r="J552" s="27" t="n">
        <v>2600</v>
      </c>
      <c r="K552" s="27">
        <f>G552*H552*(1-I552)</f>
        <v/>
      </c>
      <c r="L552" s="27">
        <f>K552-G552*J552</f>
        <v/>
      </c>
    </row>
    <row r="553">
      <c r="A553" s="25" t="inlineStr">
        <is>
          <t>ORD-10881</t>
        </is>
      </c>
      <c r="B553" s="26" t="n">
        <v>45850</v>
      </c>
      <c r="C553" s="25">
        <f>MONTH(B553)</f>
        <v/>
      </c>
      <c r="D553" s="25" t="inlineStr">
        <is>
          <t>West</t>
        </is>
      </c>
      <c r="E553" s="25" t="inlineStr">
        <is>
          <t>Accessories</t>
        </is>
      </c>
      <c r="F553" s="25" t="inlineStr">
        <is>
          <t>USB-C Hub</t>
        </is>
      </c>
      <c r="G553" s="25" t="n">
        <v>3</v>
      </c>
      <c r="H553" s="27" t="n">
        <v>1800</v>
      </c>
      <c r="I553" s="28" t="n">
        <v>0</v>
      </c>
      <c r="J553" s="27" t="n">
        <v>980</v>
      </c>
      <c r="K553" s="27">
        <f>G553*H553*(1-I553)</f>
        <v/>
      </c>
      <c r="L553" s="27">
        <f>K553-G553*J553</f>
        <v/>
      </c>
    </row>
    <row r="554">
      <c r="A554" s="25" t="inlineStr">
        <is>
          <t>ORD-10357</t>
        </is>
      </c>
      <c r="B554" s="26" t="n">
        <v>45851</v>
      </c>
      <c r="C554" s="25">
        <f>MONTH(B554)</f>
        <v/>
      </c>
      <c r="D554" s="25" t="inlineStr">
        <is>
          <t>West</t>
        </is>
      </c>
      <c r="E554" s="25" t="inlineStr">
        <is>
          <t>Office Supplies</t>
        </is>
      </c>
      <c r="F554" s="25" t="inlineStr">
        <is>
          <t>Notebook Set</t>
        </is>
      </c>
      <c r="G554" s="25" t="n">
        <v>2</v>
      </c>
      <c r="H554" s="27" t="n">
        <v>450</v>
      </c>
      <c r="I554" s="28" t="n">
        <v>0.15</v>
      </c>
      <c r="J554" s="27" t="n">
        <v>190</v>
      </c>
      <c r="K554" s="27">
        <f>G554*H554*(1-I554)</f>
        <v/>
      </c>
      <c r="L554" s="27">
        <f>K554-G554*J554</f>
        <v/>
      </c>
    </row>
    <row r="555">
      <c r="A555" s="25" t="inlineStr">
        <is>
          <t>ORD-10922</t>
        </is>
      </c>
      <c r="B555" s="26" t="n">
        <v>45851</v>
      </c>
      <c r="C555" s="25">
        <f>MONTH(B555)</f>
        <v/>
      </c>
      <c r="D555" s="25" t="inlineStr">
        <is>
          <t>North</t>
        </is>
      </c>
      <c r="E555" s="25" t="inlineStr">
        <is>
          <t>Office Supplies</t>
        </is>
      </c>
      <c r="F555" s="25" t="inlineStr">
        <is>
          <t>Printer Paper Box</t>
        </is>
      </c>
      <c r="G555" s="25" t="n">
        <v>2</v>
      </c>
      <c r="H555" s="27" t="n">
        <v>1600</v>
      </c>
      <c r="I555" s="28" t="n">
        <v>0.15</v>
      </c>
      <c r="J555" s="27" t="n">
        <v>1050</v>
      </c>
      <c r="K555" s="27">
        <f>G555*H555*(1-I555)</f>
        <v/>
      </c>
      <c r="L555" s="27">
        <f>K555-G555*J555</f>
        <v/>
      </c>
    </row>
    <row r="556">
      <c r="A556" s="25" t="inlineStr">
        <is>
          <t>ORD-11190</t>
        </is>
      </c>
      <c r="B556" s="26" t="n">
        <v>45851</v>
      </c>
      <c r="C556" s="25">
        <f>MONTH(B556)</f>
        <v/>
      </c>
      <c r="D556" s="25" t="inlineStr">
        <is>
          <t>North</t>
        </is>
      </c>
      <c r="E556" s="25" t="inlineStr">
        <is>
          <t>Accessories</t>
        </is>
      </c>
      <c r="F556" s="25" t="inlineStr">
        <is>
          <t>USB-C Hub</t>
        </is>
      </c>
      <c r="G556" s="25" t="n">
        <v>3</v>
      </c>
      <c r="H556" s="27" t="n">
        <v>1800</v>
      </c>
      <c r="I556" s="28" t="n">
        <v>0</v>
      </c>
      <c r="J556" s="27" t="n">
        <v>980</v>
      </c>
      <c r="K556" s="27">
        <f>G556*H556*(1-I556)</f>
        <v/>
      </c>
      <c r="L556" s="27">
        <f>K556-G556*J556</f>
        <v/>
      </c>
    </row>
    <row r="557">
      <c r="A557" s="25" t="inlineStr">
        <is>
          <t>ORD-10892</t>
        </is>
      </c>
      <c r="B557" s="26" t="n">
        <v>45852</v>
      </c>
      <c r="C557" s="25">
        <f>MONTH(B557)</f>
        <v/>
      </c>
      <c r="D557" s="25" t="inlineStr">
        <is>
          <t>East</t>
        </is>
      </c>
      <c r="E557" s="25" t="inlineStr">
        <is>
          <t>Office Supplies</t>
        </is>
      </c>
      <c r="F557" s="25" t="inlineStr">
        <is>
          <t>Printer Paper Box</t>
        </is>
      </c>
      <c r="G557" s="25" t="n">
        <v>6</v>
      </c>
      <c r="H557" s="27" t="n">
        <v>1600</v>
      </c>
      <c r="I557" s="28" t="n">
        <v>0.05</v>
      </c>
      <c r="J557" s="27" t="n">
        <v>1050</v>
      </c>
      <c r="K557" s="27">
        <f>G557*H557*(1-I557)</f>
        <v/>
      </c>
      <c r="L557" s="27">
        <f>K557-G557*J557</f>
        <v/>
      </c>
    </row>
    <row r="558">
      <c r="A558" s="25" t="inlineStr">
        <is>
          <t>ORD-10992</t>
        </is>
      </c>
      <c r="B558" s="26" t="n">
        <v>45852</v>
      </c>
      <c r="C558" s="25">
        <f>MONTH(B558)</f>
        <v/>
      </c>
      <c r="D558" s="25" t="inlineStr">
        <is>
          <t>North</t>
        </is>
      </c>
      <c r="E558" s="25" t="inlineStr">
        <is>
          <t>Office Supplies</t>
        </is>
      </c>
      <c r="F558" s="25" t="inlineStr">
        <is>
          <t>Notebook Set</t>
        </is>
      </c>
      <c r="G558" s="25" t="n">
        <v>8</v>
      </c>
      <c r="H558" s="27" t="n">
        <v>450</v>
      </c>
      <c r="I558" s="28" t="n">
        <v>0.15</v>
      </c>
      <c r="J558" s="27" t="n">
        <v>190</v>
      </c>
      <c r="K558" s="27">
        <f>G558*H558*(1-I558)</f>
        <v/>
      </c>
      <c r="L558" s="27">
        <f>K558-G558*J558</f>
        <v/>
      </c>
    </row>
    <row r="559">
      <c r="A559" s="25" t="inlineStr">
        <is>
          <t>ORD-10246</t>
        </is>
      </c>
      <c r="B559" s="26" t="n">
        <v>45853</v>
      </c>
      <c r="C559" s="25">
        <f>MONTH(B559)</f>
        <v/>
      </c>
      <c r="D559" s="25" t="inlineStr">
        <is>
          <t>South</t>
        </is>
      </c>
      <c r="E559" s="25" t="inlineStr">
        <is>
          <t>Office Supplies</t>
        </is>
      </c>
      <c r="F559" s="25" t="inlineStr">
        <is>
          <t>Printer Paper Box</t>
        </is>
      </c>
      <c r="G559" s="25" t="n">
        <v>1</v>
      </c>
      <c r="H559" s="27" t="n">
        <v>1600</v>
      </c>
      <c r="I559" s="28" t="n">
        <v>0</v>
      </c>
      <c r="J559" s="27" t="n">
        <v>1050</v>
      </c>
      <c r="K559" s="27">
        <f>G559*H559*(1-I559)</f>
        <v/>
      </c>
      <c r="L559" s="27">
        <f>K559-G559*J559</f>
        <v/>
      </c>
    </row>
    <row r="560">
      <c r="A560" s="25" t="inlineStr">
        <is>
          <t>ORD-10314</t>
        </is>
      </c>
      <c r="B560" s="26" t="n">
        <v>45853</v>
      </c>
      <c r="C560" s="25">
        <f>MONTH(B560)</f>
        <v/>
      </c>
      <c r="D560" s="25" t="inlineStr">
        <is>
          <t>South</t>
        </is>
      </c>
      <c r="E560" s="25" t="inlineStr">
        <is>
          <t>Office Supplies</t>
        </is>
      </c>
      <c r="F560" s="25" t="inlineStr">
        <is>
          <t>Desk Organizer</t>
        </is>
      </c>
      <c r="G560" s="25" t="n">
        <v>1</v>
      </c>
      <c r="H560" s="27" t="n">
        <v>850</v>
      </c>
      <c r="I560" s="28" t="n">
        <v>0</v>
      </c>
      <c r="J560" s="27" t="n">
        <v>420</v>
      </c>
      <c r="K560" s="27">
        <f>G560*H560*(1-I560)</f>
        <v/>
      </c>
      <c r="L560" s="27">
        <f>K560-G560*J560</f>
        <v/>
      </c>
    </row>
    <row r="561">
      <c r="A561" s="25" t="inlineStr">
        <is>
          <t>ORD-10171</t>
        </is>
      </c>
      <c r="B561" s="26" t="n">
        <v>45854</v>
      </c>
      <c r="C561" s="25">
        <f>MONTH(B561)</f>
        <v/>
      </c>
      <c r="D561" s="25" t="inlineStr">
        <is>
          <t>South</t>
        </is>
      </c>
      <c r="E561" s="25" t="inlineStr">
        <is>
          <t>Office Supplies</t>
        </is>
      </c>
      <c r="F561" s="25" t="inlineStr">
        <is>
          <t>Notebook Set</t>
        </is>
      </c>
      <c r="G561" s="25" t="n">
        <v>6</v>
      </c>
      <c r="H561" s="27" t="n">
        <v>450</v>
      </c>
      <c r="I561" s="28" t="n">
        <v>0</v>
      </c>
      <c r="J561" s="27" t="n">
        <v>190</v>
      </c>
      <c r="K561" s="27">
        <f>G561*H561*(1-I561)</f>
        <v/>
      </c>
      <c r="L561" s="27">
        <f>K561-G561*J561</f>
        <v/>
      </c>
    </row>
    <row r="562">
      <c r="A562" s="25" t="inlineStr">
        <is>
          <t>ORD-10242</t>
        </is>
      </c>
      <c r="B562" s="26" t="n">
        <v>45854</v>
      </c>
      <c r="C562" s="25">
        <f>MONTH(B562)</f>
        <v/>
      </c>
      <c r="D562" s="25" t="inlineStr">
        <is>
          <t>South</t>
        </is>
      </c>
      <c r="E562" s="25" t="inlineStr">
        <is>
          <t>Office Supplies</t>
        </is>
      </c>
      <c r="F562" s="25" t="inlineStr">
        <is>
          <t>Printer Paper Box</t>
        </is>
      </c>
      <c r="G562" s="25" t="n">
        <v>6</v>
      </c>
      <c r="H562" s="27" t="n">
        <v>1600</v>
      </c>
      <c r="I562" s="28" t="n">
        <v>0.15</v>
      </c>
      <c r="J562" s="27" t="n">
        <v>1050</v>
      </c>
      <c r="K562" s="27">
        <f>G562*H562*(1-I562)</f>
        <v/>
      </c>
      <c r="L562" s="27">
        <f>K562-G562*J562</f>
        <v/>
      </c>
    </row>
    <row r="563">
      <c r="A563" s="25" t="inlineStr">
        <is>
          <t>ORD-10570</t>
        </is>
      </c>
      <c r="B563" s="26" t="n">
        <v>45854</v>
      </c>
      <c r="C563" s="25">
        <f>MONTH(B563)</f>
        <v/>
      </c>
      <c r="D563" s="25" t="inlineStr">
        <is>
          <t>West</t>
        </is>
      </c>
      <c r="E563" s="25" t="inlineStr">
        <is>
          <t>Office Supplies</t>
        </is>
      </c>
      <c r="F563" s="25" t="inlineStr">
        <is>
          <t>Printer Paper Box</t>
        </is>
      </c>
      <c r="G563" s="25" t="n">
        <v>1</v>
      </c>
      <c r="H563" s="27" t="n">
        <v>1600</v>
      </c>
      <c r="I563" s="28" t="n">
        <v>0.2</v>
      </c>
      <c r="J563" s="27" t="n">
        <v>1050</v>
      </c>
      <c r="K563" s="27">
        <f>G563*H563*(1-I563)</f>
        <v/>
      </c>
      <c r="L563" s="27">
        <f>K563-G563*J563</f>
        <v/>
      </c>
    </row>
    <row r="564">
      <c r="A564" s="25" t="inlineStr">
        <is>
          <t>ORD-10716</t>
        </is>
      </c>
      <c r="B564" s="26" t="n">
        <v>45854</v>
      </c>
      <c r="C564" s="25">
        <f>MONTH(B564)</f>
        <v/>
      </c>
      <c r="D564" s="25" t="inlineStr">
        <is>
          <t>North</t>
        </is>
      </c>
      <c r="E564" s="25" t="inlineStr">
        <is>
          <t>Office Supplies</t>
        </is>
      </c>
      <c r="F564" s="25" t="inlineStr">
        <is>
          <t>Notebook Set</t>
        </is>
      </c>
      <c r="G564" s="25" t="n">
        <v>5</v>
      </c>
      <c r="H564" s="27" t="n">
        <v>450</v>
      </c>
      <c r="I564" s="28" t="n">
        <v>0</v>
      </c>
      <c r="J564" s="27" t="n">
        <v>190</v>
      </c>
      <c r="K564" s="27">
        <f>G564*H564*(1-I564)</f>
        <v/>
      </c>
      <c r="L564" s="27">
        <f>K564-G564*J564</f>
        <v/>
      </c>
    </row>
    <row r="565">
      <c r="A565" s="25" t="inlineStr">
        <is>
          <t>ORD-10463</t>
        </is>
      </c>
      <c r="B565" s="26" t="n">
        <v>45856</v>
      </c>
      <c r="C565" s="25">
        <f>MONTH(B565)</f>
        <v/>
      </c>
      <c r="D565" s="25" t="inlineStr">
        <is>
          <t>North</t>
        </is>
      </c>
      <c r="E565" s="25" t="inlineStr">
        <is>
          <t>Furniture</t>
        </is>
      </c>
      <c r="F565" s="25" t="inlineStr">
        <is>
          <t>Office Chair</t>
        </is>
      </c>
      <c r="G565" s="25" t="n">
        <v>1</v>
      </c>
      <c r="H565" s="27" t="n">
        <v>8500</v>
      </c>
      <c r="I565" s="28" t="n">
        <v>0</v>
      </c>
      <c r="J565" s="27" t="n">
        <v>5600</v>
      </c>
      <c r="K565" s="27">
        <f>G565*H565*(1-I565)</f>
        <v/>
      </c>
      <c r="L565" s="27">
        <f>K565-G565*J565</f>
        <v/>
      </c>
    </row>
    <row r="566">
      <c r="A566" s="25" t="inlineStr">
        <is>
          <t>ORD-10678</t>
        </is>
      </c>
      <c r="B566" s="26" t="n">
        <v>45856</v>
      </c>
      <c r="C566" s="25">
        <f>MONTH(B566)</f>
        <v/>
      </c>
      <c r="D566" s="25" t="inlineStr">
        <is>
          <t>West</t>
        </is>
      </c>
      <c r="E566" s="25" t="inlineStr">
        <is>
          <t>Accessories</t>
        </is>
      </c>
      <c r="F566" s="25" t="inlineStr">
        <is>
          <t>Webcam</t>
        </is>
      </c>
      <c r="G566" s="25" t="n">
        <v>1</v>
      </c>
      <c r="H566" s="27" t="n">
        <v>3200</v>
      </c>
      <c r="I566" s="28" t="n">
        <v>0.2</v>
      </c>
      <c r="J566" s="27" t="n">
        <v>1900</v>
      </c>
      <c r="K566" s="27">
        <f>G566*H566*(1-I566)</f>
        <v/>
      </c>
      <c r="L566" s="27">
        <f>K566-G566*J566</f>
        <v/>
      </c>
    </row>
    <row r="567">
      <c r="A567" s="25" t="inlineStr">
        <is>
          <t>ORD-11026</t>
        </is>
      </c>
      <c r="B567" s="26" t="n">
        <v>45856</v>
      </c>
      <c r="C567" s="25">
        <f>MONTH(B567)</f>
        <v/>
      </c>
      <c r="D567" s="25" t="inlineStr">
        <is>
          <t>East</t>
        </is>
      </c>
      <c r="E567" s="25" t="inlineStr">
        <is>
          <t>Office Supplies</t>
        </is>
      </c>
      <c r="F567" s="25" t="inlineStr">
        <is>
          <t>Notebook Set</t>
        </is>
      </c>
      <c r="G567" s="25" t="n">
        <v>1</v>
      </c>
      <c r="H567" s="27" t="n">
        <v>450</v>
      </c>
      <c r="I567" s="28" t="n">
        <v>0</v>
      </c>
      <c r="J567" s="27" t="n">
        <v>190</v>
      </c>
      <c r="K567" s="27">
        <f>G567*H567*(1-I567)</f>
        <v/>
      </c>
      <c r="L567" s="27">
        <f>K567-G567*J567</f>
        <v/>
      </c>
    </row>
    <row r="568">
      <c r="A568" s="25" t="inlineStr">
        <is>
          <t>ORD-11137</t>
        </is>
      </c>
      <c r="B568" s="26" t="n">
        <v>45856</v>
      </c>
      <c r="C568" s="25">
        <f>MONTH(B568)</f>
        <v/>
      </c>
      <c r="D568" s="25" t="inlineStr">
        <is>
          <t>South</t>
        </is>
      </c>
      <c r="E568" s="25" t="inlineStr">
        <is>
          <t>Office Supplies</t>
        </is>
      </c>
      <c r="F568" s="25" t="inlineStr">
        <is>
          <t>Printer Paper Box</t>
        </is>
      </c>
      <c r="G568" s="25" t="n">
        <v>4</v>
      </c>
      <c r="H568" s="27" t="n">
        <v>1600</v>
      </c>
      <c r="I568" s="28" t="n">
        <v>0</v>
      </c>
      <c r="J568" s="27" t="n">
        <v>1050</v>
      </c>
      <c r="K568" s="27">
        <f>G568*H568*(1-I568)</f>
        <v/>
      </c>
      <c r="L568" s="27">
        <f>K568-G568*J568</f>
        <v/>
      </c>
    </row>
    <row r="569">
      <c r="A569" s="25" t="inlineStr">
        <is>
          <t>ORD-10677</t>
        </is>
      </c>
      <c r="B569" s="26" t="n">
        <v>45857</v>
      </c>
      <c r="C569" s="25">
        <f>MONTH(B569)</f>
        <v/>
      </c>
      <c r="D569" s="25" t="inlineStr">
        <is>
          <t>East</t>
        </is>
      </c>
      <c r="E569" s="25" t="inlineStr">
        <is>
          <t>Office Supplies</t>
        </is>
      </c>
      <c r="F569" s="25" t="inlineStr">
        <is>
          <t>Desk Organizer</t>
        </is>
      </c>
      <c r="G569" s="25" t="n">
        <v>2</v>
      </c>
      <c r="H569" s="27" t="n">
        <v>850</v>
      </c>
      <c r="I569" s="28" t="n">
        <v>0</v>
      </c>
      <c r="J569" s="27" t="n">
        <v>420</v>
      </c>
      <c r="K569" s="27">
        <f>G569*H569*(1-I569)</f>
        <v/>
      </c>
      <c r="L569" s="27">
        <f>K569-G569*J569</f>
        <v/>
      </c>
    </row>
    <row r="570">
      <c r="A570" s="25" t="inlineStr">
        <is>
          <t>ORD-11017</t>
        </is>
      </c>
      <c r="B570" s="26" t="n">
        <v>45857</v>
      </c>
      <c r="C570" s="25">
        <f>MONTH(B570)</f>
        <v/>
      </c>
      <c r="D570" s="25" t="inlineStr">
        <is>
          <t>North</t>
        </is>
      </c>
      <c r="E570" s="25" t="inlineStr">
        <is>
          <t>Accessories</t>
        </is>
      </c>
      <c r="F570" s="25" t="inlineStr">
        <is>
          <t>Headphones</t>
        </is>
      </c>
      <c r="G570" s="25" t="n">
        <v>2</v>
      </c>
      <c r="H570" s="27" t="n">
        <v>4500</v>
      </c>
      <c r="I570" s="28" t="n">
        <v>0.2</v>
      </c>
      <c r="J570" s="27" t="n">
        <v>2600</v>
      </c>
      <c r="K570" s="27">
        <f>G570*H570*(1-I570)</f>
        <v/>
      </c>
      <c r="L570" s="27">
        <f>K570-G570*J570</f>
        <v/>
      </c>
    </row>
    <row r="571">
      <c r="A571" s="25" t="inlineStr">
        <is>
          <t>ORD-11142</t>
        </is>
      </c>
      <c r="B571" s="26" t="n">
        <v>45857</v>
      </c>
      <c r="C571" s="25">
        <f>MONTH(B571)</f>
        <v/>
      </c>
      <c r="D571" s="25" t="inlineStr">
        <is>
          <t>West</t>
        </is>
      </c>
      <c r="E571" s="25" t="inlineStr">
        <is>
          <t>Furniture</t>
        </is>
      </c>
      <c r="F571" s="25" t="inlineStr">
        <is>
          <t>Office Chair</t>
        </is>
      </c>
      <c r="G571" s="25" t="n">
        <v>1</v>
      </c>
      <c r="H571" s="27" t="n">
        <v>8500</v>
      </c>
      <c r="I571" s="28" t="n">
        <v>0.2</v>
      </c>
      <c r="J571" s="27" t="n">
        <v>5600</v>
      </c>
      <c r="K571" s="27">
        <f>G571*H571*(1-I571)</f>
        <v/>
      </c>
      <c r="L571" s="27">
        <f>K571-G571*J571</f>
        <v/>
      </c>
    </row>
    <row r="572">
      <c r="A572" s="25" t="inlineStr">
        <is>
          <t>ORD-10013</t>
        </is>
      </c>
      <c r="B572" s="26" t="n">
        <v>45858</v>
      </c>
      <c r="C572" s="25">
        <f>MONTH(B572)</f>
        <v/>
      </c>
      <c r="D572" s="25" t="inlineStr">
        <is>
          <t>East</t>
        </is>
      </c>
      <c r="E572" s="25" t="inlineStr">
        <is>
          <t>Accessories</t>
        </is>
      </c>
      <c r="F572" s="25" t="inlineStr">
        <is>
          <t>USB-C Hub</t>
        </is>
      </c>
      <c r="G572" s="25" t="n">
        <v>3</v>
      </c>
      <c r="H572" s="27" t="n">
        <v>1800</v>
      </c>
      <c r="I572" s="28" t="n">
        <v>0</v>
      </c>
      <c r="J572" s="27" t="n">
        <v>980</v>
      </c>
      <c r="K572" s="27">
        <f>G572*H572*(1-I572)</f>
        <v/>
      </c>
      <c r="L572" s="27">
        <f>K572-G572*J572</f>
        <v/>
      </c>
    </row>
    <row r="573">
      <c r="A573" s="25" t="inlineStr">
        <is>
          <t>ORD-10328</t>
        </is>
      </c>
      <c r="B573" s="26" t="n">
        <v>45858</v>
      </c>
      <c r="C573" s="25">
        <f>MONTH(B573)</f>
        <v/>
      </c>
      <c r="D573" s="25" t="inlineStr">
        <is>
          <t>North</t>
        </is>
      </c>
      <c r="E573" s="25" t="inlineStr">
        <is>
          <t>Furniture</t>
        </is>
      </c>
      <c r="F573" s="25" t="inlineStr">
        <is>
          <t>Bookshelf</t>
        </is>
      </c>
      <c r="G573" s="25" t="n">
        <v>2</v>
      </c>
      <c r="H573" s="27" t="n">
        <v>6200</v>
      </c>
      <c r="I573" s="28" t="n">
        <v>0.1</v>
      </c>
      <c r="J573" s="27" t="n">
        <v>4100</v>
      </c>
      <c r="K573" s="27">
        <f>G573*H573*(1-I573)</f>
        <v/>
      </c>
      <c r="L573" s="27">
        <f>K573-G573*J573</f>
        <v/>
      </c>
    </row>
    <row r="574">
      <c r="A574" s="25" t="inlineStr">
        <is>
          <t>ORD-10227</t>
        </is>
      </c>
      <c r="B574" s="26" t="n">
        <v>45859</v>
      </c>
      <c r="C574" s="25">
        <f>MONTH(B574)</f>
        <v/>
      </c>
      <c r="D574" s="25" t="inlineStr">
        <is>
          <t>East</t>
        </is>
      </c>
      <c r="E574" s="25" t="inlineStr">
        <is>
          <t>Accessories</t>
        </is>
      </c>
      <c r="F574" s="25" t="inlineStr">
        <is>
          <t>Webcam</t>
        </is>
      </c>
      <c r="G574" s="25" t="n">
        <v>3</v>
      </c>
      <c r="H574" s="27" t="n">
        <v>3200</v>
      </c>
      <c r="I574" s="28" t="n">
        <v>0</v>
      </c>
      <c r="J574" s="27" t="n">
        <v>1900</v>
      </c>
      <c r="K574" s="27">
        <f>G574*H574*(1-I574)</f>
        <v/>
      </c>
      <c r="L574" s="27">
        <f>K574-G574*J574</f>
        <v/>
      </c>
    </row>
    <row r="575">
      <c r="A575" s="25" t="inlineStr">
        <is>
          <t>ORD-10530</t>
        </is>
      </c>
      <c r="B575" s="26" t="n">
        <v>45859</v>
      </c>
      <c r="C575" s="25">
        <f>MONTH(B575)</f>
        <v/>
      </c>
      <c r="D575" s="25" t="inlineStr">
        <is>
          <t>North</t>
        </is>
      </c>
      <c r="E575" s="25" t="inlineStr">
        <is>
          <t>Office Supplies</t>
        </is>
      </c>
      <c r="F575" s="25" t="inlineStr">
        <is>
          <t>Printer Paper Box</t>
        </is>
      </c>
      <c r="G575" s="25" t="n">
        <v>3</v>
      </c>
      <c r="H575" s="27" t="n">
        <v>1600</v>
      </c>
      <c r="I575" s="28" t="n">
        <v>0.2</v>
      </c>
      <c r="J575" s="27" t="n">
        <v>1050</v>
      </c>
      <c r="K575" s="27">
        <f>G575*H575*(1-I575)</f>
        <v/>
      </c>
      <c r="L575" s="27">
        <f>K575-G575*J575</f>
        <v/>
      </c>
    </row>
    <row r="576">
      <c r="A576" s="25" t="inlineStr">
        <is>
          <t>ORD-10214</t>
        </is>
      </c>
      <c r="B576" s="26" t="n">
        <v>45860</v>
      </c>
      <c r="C576" s="25">
        <f>MONTH(B576)</f>
        <v/>
      </c>
      <c r="D576" s="25" t="inlineStr">
        <is>
          <t>West</t>
        </is>
      </c>
      <c r="E576" s="25" t="inlineStr">
        <is>
          <t>Accessories</t>
        </is>
      </c>
      <c r="F576" s="25" t="inlineStr">
        <is>
          <t>Webcam</t>
        </is>
      </c>
      <c r="G576" s="25" t="n">
        <v>2</v>
      </c>
      <c r="H576" s="27" t="n">
        <v>3200</v>
      </c>
      <c r="I576" s="28" t="n">
        <v>0</v>
      </c>
      <c r="J576" s="27" t="n">
        <v>1900</v>
      </c>
      <c r="K576" s="27">
        <f>G576*H576*(1-I576)</f>
        <v/>
      </c>
      <c r="L576" s="27">
        <f>K576-G576*J576</f>
        <v/>
      </c>
    </row>
    <row r="577">
      <c r="A577" s="25" t="inlineStr">
        <is>
          <t>ORD-10453</t>
        </is>
      </c>
      <c r="B577" s="26" t="n">
        <v>45861</v>
      </c>
      <c r="C577" s="25">
        <f>MONTH(B577)</f>
        <v/>
      </c>
      <c r="D577" s="25" t="inlineStr">
        <is>
          <t>West</t>
        </is>
      </c>
      <c r="E577" s="25" t="inlineStr">
        <is>
          <t>Accessories</t>
        </is>
      </c>
      <c r="F577" s="25" t="inlineStr">
        <is>
          <t>Webcam</t>
        </is>
      </c>
      <c r="G577" s="25" t="n">
        <v>2</v>
      </c>
      <c r="H577" s="27" t="n">
        <v>3200</v>
      </c>
      <c r="I577" s="28" t="n">
        <v>0</v>
      </c>
      <c r="J577" s="27" t="n">
        <v>1900</v>
      </c>
      <c r="K577" s="27">
        <f>G577*H577*(1-I577)</f>
        <v/>
      </c>
      <c r="L577" s="27">
        <f>K577-G577*J577</f>
        <v/>
      </c>
    </row>
    <row r="578">
      <c r="A578" s="25" t="inlineStr">
        <is>
          <t>ORD-10710</t>
        </is>
      </c>
      <c r="B578" s="26" t="n">
        <v>45861</v>
      </c>
      <c r="C578" s="25">
        <f>MONTH(B578)</f>
        <v/>
      </c>
      <c r="D578" s="25" t="inlineStr">
        <is>
          <t>East</t>
        </is>
      </c>
      <c r="E578" s="25" t="inlineStr">
        <is>
          <t>Accessories</t>
        </is>
      </c>
      <c r="F578" s="25" t="inlineStr">
        <is>
          <t>Headphones</t>
        </is>
      </c>
      <c r="G578" s="25" t="n">
        <v>2</v>
      </c>
      <c r="H578" s="27" t="n">
        <v>4500</v>
      </c>
      <c r="I578" s="28" t="n">
        <v>0</v>
      </c>
      <c r="J578" s="27" t="n">
        <v>2600</v>
      </c>
      <c r="K578" s="27">
        <f>G578*H578*(1-I578)</f>
        <v/>
      </c>
      <c r="L578" s="27">
        <f>K578-G578*J578</f>
        <v/>
      </c>
    </row>
    <row r="579">
      <c r="A579" s="25" t="inlineStr">
        <is>
          <t>ORD-11059</t>
        </is>
      </c>
      <c r="B579" s="26" t="n">
        <v>45861</v>
      </c>
      <c r="C579" s="25">
        <f>MONTH(B579)</f>
        <v/>
      </c>
      <c r="D579" s="25" t="inlineStr">
        <is>
          <t>East</t>
        </is>
      </c>
      <c r="E579" s="25" t="inlineStr">
        <is>
          <t>Office Supplies</t>
        </is>
      </c>
      <c r="F579" s="25" t="inlineStr">
        <is>
          <t>Printer Paper Box</t>
        </is>
      </c>
      <c r="G579" s="25" t="n">
        <v>6</v>
      </c>
      <c r="H579" s="27" t="n">
        <v>1600</v>
      </c>
      <c r="I579" s="28" t="n">
        <v>0.1</v>
      </c>
      <c r="J579" s="27" t="n">
        <v>1050</v>
      </c>
      <c r="K579" s="27">
        <f>G579*H579*(1-I579)</f>
        <v/>
      </c>
      <c r="L579" s="27">
        <f>K579-G579*J579</f>
        <v/>
      </c>
    </row>
    <row r="580">
      <c r="A580" s="25" t="inlineStr">
        <is>
          <t>ORD-11073</t>
        </is>
      </c>
      <c r="B580" s="26" t="n">
        <v>45861</v>
      </c>
      <c r="C580" s="25">
        <f>MONTH(B580)</f>
        <v/>
      </c>
      <c r="D580" s="25" t="inlineStr">
        <is>
          <t>West</t>
        </is>
      </c>
      <c r="E580" s="25" t="inlineStr">
        <is>
          <t>Accessories</t>
        </is>
      </c>
      <c r="F580" s="25" t="inlineStr">
        <is>
          <t>USB-C Hub</t>
        </is>
      </c>
      <c r="G580" s="25" t="n">
        <v>3</v>
      </c>
      <c r="H580" s="27" t="n">
        <v>1800</v>
      </c>
      <c r="I580" s="28" t="n">
        <v>0</v>
      </c>
      <c r="J580" s="27" t="n">
        <v>980</v>
      </c>
      <c r="K580" s="27">
        <f>G580*H580*(1-I580)</f>
        <v/>
      </c>
      <c r="L580" s="27">
        <f>K580-G580*J580</f>
        <v/>
      </c>
    </row>
    <row r="581">
      <c r="A581" s="25" t="inlineStr">
        <is>
          <t>ORD-10291</t>
        </is>
      </c>
      <c r="B581" s="26" t="n">
        <v>45862</v>
      </c>
      <c r="C581" s="25">
        <f>MONTH(B581)</f>
        <v/>
      </c>
      <c r="D581" s="25" t="inlineStr">
        <is>
          <t>East</t>
        </is>
      </c>
      <c r="E581" s="25" t="inlineStr">
        <is>
          <t>Accessories</t>
        </is>
      </c>
      <c r="F581" s="25" t="inlineStr">
        <is>
          <t>Headphones</t>
        </is>
      </c>
      <c r="G581" s="25" t="n">
        <v>3</v>
      </c>
      <c r="H581" s="27" t="n">
        <v>4500</v>
      </c>
      <c r="I581" s="28" t="n">
        <v>0.15</v>
      </c>
      <c r="J581" s="27" t="n">
        <v>2600</v>
      </c>
      <c r="K581" s="27">
        <f>G581*H581*(1-I581)</f>
        <v/>
      </c>
      <c r="L581" s="27">
        <f>K581-G581*J581</f>
        <v/>
      </c>
    </row>
    <row r="582">
      <c r="A582" s="25" t="inlineStr">
        <is>
          <t>ORD-10533</t>
        </is>
      </c>
      <c r="B582" s="26" t="n">
        <v>45862</v>
      </c>
      <c r="C582" s="25">
        <f>MONTH(B582)</f>
        <v/>
      </c>
      <c r="D582" s="25" t="inlineStr">
        <is>
          <t>South</t>
        </is>
      </c>
      <c r="E582" s="25" t="inlineStr">
        <is>
          <t>Office Supplies</t>
        </is>
      </c>
      <c r="F582" s="25" t="inlineStr">
        <is>
          <t>Desk Organizer</t>
        </is>
      </c>
      <c r="G582" s="25" t="n">
        <v>5</v>
      </c>
      <c r="H582" s="27" t="n">
        <v>850</v>
      </c>
      <c r="I582" s="28" t="n">
        <v>0</v>
      </c>
      <c r="J582" s="27" t="n">
        <v>420</v>
      </c>
      <c r="K582" s="27">
        <f>G582*H582*(1-I582)</f>
        <v/>
      </c>
      <c r="L582" s="27">
        <f>K582-G582*J582</f>
        <v/>
      </c>
    </row>
    <row r="583">
      <c r="A583" s="25" t="inlineStr">
        <is>
          <t>ORD-10763</t>
        </is>
      </c>
      <c r="B583" s="26" t="n">
        <v>45862</v>
      </c>
      <c r="C583" s="25">
        <f>MONTH(B583)</f>
        <v/>
      </c>
      <c r="D583" s="25" t="inlineStr">
        <is>
          <t>South</t>
        </is>
      </c>
      <c r="E583" s="25" t="inlineStr">
        <is>
          <t>Technology</t>
        </is>
      </c>
      <c r="F583" s="25" t="inlineStr">
        <is>
          <t>Mechanical Keyboard</t>
        </is>
      </c>
      <c r="G583" s="25" t="n">
        <v>1</v>
      </c>
      <c r="H583" s="27" t="n">
        <v>4200</v>
      </c>
      <c r="I583" s="28" t="n">
        <v>0</v>
      </c>
      <c r="J583" s="27" t="n">
        <v>2500</v>
      </c>
      <c r="K583" s="27">
        <f>G583*H583*(1-I583)</f>
        <v/>
      </c>
      <c r="L583" s="27">
        <f>K583-G583*J583</f>
        <v/>
      </c>
    </row>
    <row r="584">
      <c r="A584" s="25" t="inlineStr">
        <is>
          <t>ORD-10403</t>
        </is>
      </c>
      <c r="B584" s="26" t="n">
        <v>45863</v>
      </c>
      <c r="C584" s="25">
        <f>MONTH(B584)</f>
        <v/>
      </c>
      <c r="D584" s="25" t="inlineStr">
        <is>
          <t>South</t>
        </is>
      </c>
      <c r="E584" s="25" t="inlineStr">
        <is>
          <t>Office Supplies</t>
        </is>
      </c>
      <c r="F584" s="25" t="inlineStr">
        <is>
          <t>Desk Organizer</t>
        </is>
      </c>
      <c r="G584" s="25" t="n">
        <v>2</v>
      </c>
      <c r="H584" s="27" t="n">
        <v>850</v>
      </c>
      <c r="I584" s="28" t="n">
        <v>0.05</v>
      </c>
      <c r="J584" s="27" t="n">
        <v>420</v>
      </c>
      <c r="K584" s="27">
        <f>G584*H584*(1-I584)</f>
        <v/>
      </c>
      <c r="L584" s="27">
        <f>K584-G584*J584</f>
        <v/>
      </c>
    </row>
    <row r="585">
      <c r="A585" s="25" t="inlineStr">
        <is>
          <t>ORD-10974</t>
        </is>
      </c>
      <c r="B585" s="26" t="n">
        <v>45863</v>
      </c>
      <c r="C585" s="25">
        <f>MONTH(B585)</f>
        <v/>
      </c>
      <c r="D585" s="25" t="inlineStr">
        <is>
          <t>South</t>
        </is>
      </c>
      <c r="E585" s="25" t="inlineStr">
        <is>
          <t>Technology</t>
        </is>
      </c>
      <c r="F585" s="25" t="inlineStr">
        <is>
          <t>Wireless Mouse</t>
        </is>
      </c>
      <c r="G585" s="25" t="n">
        <v>2</v>
      </c>
      <c r="H585" s="27" t="n">
        <v>1200</v>
      </c>
      <c r="I585" s="28" t="n">
        <v>0</v>
      </c>
      <c r="J585" s="27" t="n">
        <v>650</v>
      </c>
      <c r="K585" s="27">
        <f>G585*H585*(1-I585)</f>
        <v/>
      </c>
      <c r="L585" s="27">
        <f>K585-G585*J585</f>
        <v/>
      </c>
    </row>
    <row r="586">
      <c r="A586" s="25" t="inlineStr">
        <is>
          <t>ORD-10853</t>
        </is>
      </c>
      <c r="B586" s="26" t="n">
        <v>45864</v>
      </c>
      <c r="C586" s="25">
        <f>MONTH(B586)</f>
        <v/>
      </c>
      <c r="D586" s="25" t="inlineStr">
        <is>
          <t>West</t>
        </is>
      </c>
      <c r="E586" s="25" t="inlineStr">
        <is>
          <t>Furniture</t>
        </is>
      </c>
      <c r="F586" s="25" t="inlineStr">
        <is>
          <t>Bookshelf</t>
        </is>
      </c>
      <c r="G586" s="25" t="n">
        <v>2</v>
      </c>
      <c r="H586" s="27" t="n">
        <v>6200</v>
      </c>
      <c r="I586" s="28" t="n">
        <v>0</v>
      </c>
      <c r="J586" s="27" t="n">
        <v>4100</v>
      </c>
      <c r="K586" s="27">
        <f>G586*H586*(1-I586)</f>
        <v/>
      </c>
      <c r="L586" s="27">
        <f>K586-G586*J586</f>
        <v/>
      </c>
    </row>
    <row r="587">
      <c r="A587" s="25" t="inlineStr">
        <is>
          <t>ORD-10886</t>
        </is>
      </c>
      <c r="B587" s="26" t="n">
        <v>45864</v>
      </c>
      <c r="C587" s="25">
        <f>MONTH(B587)</f>
        <v/>
      </c>
      <c r="D587" s="25" t="inlineStr">
        <is>
          <t>North</t>
        </is>
      </c>
      <c r="E587" s="25" t="inlineStr">
        <is>
          <t>Accessories</t>
        </is>
      </c>
      <c r="F587" s="25" t="inlineStr">
        <is>
          <t>USB-C Hub</t>
        </is>
      </c>
      <c r="G587" s="25" t="n">
        <v>1</v>
      </c>
      <c r="H587" s="27" t="n">
        <v>1800</v>
      </c>
      <c r="I587" s="28" t="n">
        <v>0.05</v>
      </c>
      <c r="J587" s="27" t="n">
        <v>980</v>
      </c>
      <c r="K587" s="27">
        <f>G587*H587*(1-I587)</f>
        <v/>
      </c>
      <c r="L587" s="27">
        <f>K587-G587*J587</f>
        <v/>
      </c>
    </row>
    <row r="588">
      <c r="A588" s="25" t="inlineStr">
        <is>
          <t>ORD-10717</t>
        </is>
      </c>
      <c r="B588" s="26" t="n">
        <v>45865</v>
      </c>
      <c r="C588" s="25">
        <f>MONTH(B588)</f>
        <v/>
      </c>
      <c r="D588" s="25" t="inlineStr">
        <is>
          <t>West</t>
        </is>
      </c>
      <c r="E588" s="25" t="inlineStr">
        <is>
          <t>Office Supplies</t>
        </is>
      </c>
      <c r="F588" s="25" t="inlineStr">
        <is>
          <t>Desk Organizer</t>
        </is>
      </c>
      <c r="G588" s="25" t="n">
        <v>4</v>
      </c>
      <c r="H588" s="27" t="n">
        <v>850</v>
      </c>
      <c r="I588" s="28" t="n">
        <v>0</v>
      </c>
      <c r="J588" s="27" t="n">
        <v>420</v>
      </c>
      <c r="K588" s="27">
        <f>G588*H588*(1-I588)</f>
        <v/>
      </c>
      <c r="L588" s="27">
        <f>K588-G588*J588</f>
        <v/>
      </c>
    </row>
    <row r="589">
      <c r="A589" s="25" t="inlineStr">
        <is>
          <t>ORD-10124</t>
        </is>
      </c>
      <c r="B589" s="26" t="n">
        <v>45866</v>
      </c>
      <c r="C589" s="25">
        <f>MONTH(B589)</f>
        <v/>
      </c>
      <c r="D589" s="25" t="inlineStr">
        <is>
          <t>North</t>
        </is>
      </c>
      <c r="E589" s="25" t="inlineStr">
        <is>
          <t>Accessories</t>
        </is>
      </c>
      <c r="F589" s="25" t="inlineStr">
        <is>
          <t>Headphones</t>
        </is>
      </c>
      <c r="G589" s="25" t="n">
        <v>1</v>
      </c>
      <c r="H589" s="27" t="n">
        <v>4500</v>
      </c>
      <c r="I589" s="28" t="n">
        <v>0.15</v>
      </c>
      <c r="J589" s="27" t="n">
        <v>2600</v>
      </c>
      <c r="K589" s="27">
        <f>G589*H589*(1-I589)</f>
        <v/>
      </c>
      <c r="L589" s="27">
        <f>K589-G589*J589</f>
        <v/>
      </c>
    </row>
    <row r="590">
      <c r="A590" s="25" t="inlineStr">
        <is>
          <t>ORD-10371</t>
        </is>
      </c>
      <c r="B590" s="26" t="n">
        <v>45866</v>
      </c>
      <c r="C590" s="25">
        <f>MONTH(B590)</f>
        <v/>
      </c>
      <c r="D590" s="25" t="inlineStr">
        <is>
          <t>South</t>
        </is>
      </c>
      <c r="E590" s="25" t="inlineStr">
        <is>
          <t>Technology</t>
        </is>
      </c>
      <c r="F590" s="25" t="inlineStr">
        <is>
          <t>Mechanical Keyboard</t>
        </is>
      </c>
      <c r="G590" s="25" t="n">
        <v>1</v>
      </c>
      <c r="H590" s="27" t="n">
        <v>4200</v>
      </c>
      <c r="I590" s="28" t="n">
        <v>0.15</v>
      </c>
      <c r="J590" s="27" t="n">
        <v>2500</v>
      </c>
      <c r="K590" s="27">
        <f>G590*H590*(1-I590)</f>
        <v/>
      </c>
      <c r="L590" s="27">
        <f>K590-G590*J590</f>
        <v/>
      </c>
    </row>
    <row r="591">
      <c r="A591" s="25" t="inlineStr">
        <is>
          <t>ORD-10095</t>
        </is>
      </c>
      <c r="B591" s="26" t="n">
        <v>45870</v>
      </c>
      <c r="C591" s="25">
        <f>MONTH(B591)</f>
        <v/>
      </c>
      <c r="D591" s="25" t="inlineStr">
        <is>
          <t>West</t>
        </is>
      </c>
      <c r="E591" s="25" t="inlineStr">
        <is>
          <t>Technology</t>
        </is>
      </c>
      <c r="F591" s="25" t="inlineStr">
        <is>
          <t>Wireless Mouse</t>
        </is>
      </c>
      <c r="G591" s="25" t="n">
        <v>2</v>
      </c>
      <c r="H591" s="27" t="n">
        <v>1200</v>
      </c>
      <c r="I591" s="28" t="n">
        <v>0.1</v>
      </c>
      <c r="J591" s="27" t="n">
        <v>650</v>
      </c>
      <c r="K591" s="27">
        <f>G591*H591*(1-I591)</f>
        <v/>
      </c>
      <c r="L591" s="27">
        <f>K591-G591*J591</f>
        <v/>
      </c>
    </row>
    <row r="592">
      <c r="A592" s="25" t="inlineStr">
        <is>
          <t>ORD-10418</t>
        </is>
      </c>
      <c r="B592" s="26" t="n">
        <v>45870</v>
      </c>
      <c r="C592" s="25">
        <f>MONTH(B592)</f>
        <v/>
      </c>
      <c r="D592" s="25" t="inlineStr">
        <is>
          <t>East</t>
        </is>
      </c>
      <c r="E592" s="25" t="inlineStr">
        <is>
          <t>Office Supplies</t>
        </is>
      </c>
      <c r="F592" s="25" t="inlineStr">
        <is>
          <t>Notebook Set</t>
        </is>
      </c>
      <c r="G592" s="25" t="n">
        <v>6</v>
      </c>
      <c r="H592" s="27" t="n">
        <v>450</v>
      </c>
      <c r="I592" s="28" t="n">
        <v>0</v>
      </c>
      <c r="J592" s="27" t="n">
        <v>190</v>
      </c>
      <c r="K592" s="27">
        <f>G592*H592*(1-I592)</f>
        <v/>
      </c>
      <c r="L592" s="27">
        <f>K592-G592*J592</f>
        <v/>
      </c>
    </row>
    <row r="593">
      <c r="A593" s="25" t="inlineStr">
        <is>
          <t>ORD-10897</t>
        </is>
      </c>
      <c r="B593" s="26" t="n">
        <v>45870</v>
      </c>
      <c r="C593" s="25">
        <f>MONTH(B593)</f>
        <v/>
      </c>
      <c r="D593" s="25" t="inlineStr">
        <is>
          <t>East</t>
        </is>
      </c>
      <c r="E593" s="25" t="inlineStr">
        <is>
          <t>Office Supplies</t>
        </is>
      </c>
      <c r="F593" s="25" t="inlineStr">
        <is>
          <t>Desk Organizer</t>
        </is>
      </c>
      <c r="G593" s="25" t="n">
        <v>2</v>
      </c>
      <c r="H593" s="27" t="n">
        <v>850</v>
      </c>
      <c r="I593" s="28" t="n">
        <v>0</v>
      </c>
      <c r="J593" s="27" t="n">
        <v>420</v>
      </c>
      <c r="K593" s="27">
        <f>G593*H593*(1-I593)</f>
        <v/>
      </c>
      <c r="L593" s="27">
        <f>K593-G593*J593</f>
        <v/>
      </c>
    </row>
    <row r="594">
      <c r="A594" s="25" t="inlineStr">
        <is>
          <t>ORD-10948</t>
        </is>
      </c>
      <c r="B594" s="26" t="n">
        <v>45870</v>
      </c>
      <c r="C594" s="25">
        <f>MONTH(B594)</f>
        <v/>
      </c>
      <c r="D594" s="25" t="inlineStr">
        <is>
          <t>East</t>
        </is>
      </c>
      <c r="E594" s="25" t="inlineStr">
        <is>
          <t>Office Supplies</t>
        </is>
      </c>
      <c r="F594" s="25" t="inlineStr">
        <is>
          <t>Desk Organizer</t>
        </is>
      </c>
      <c r="G594" s="25" t="n">
        <v>5</v>
      </c>
      <c r="H594" s="27" t="n">
        <v>850</v>
      </c>
      <c r="I594" s="28" t="n">
        <v>0.1</v>
      </c>
      <c r="J594" s="27" t="n">
        <v>420</v>
      </c>
      <c r="K594" s="27">
        <f>G594*H594*(1-I594)</f>
        <v/>
      </c>
      <c r="L594" s="27">
        <f>K594-G594*J594</f>
        <v/>
      </c>
    </row>
    <row r="595">
      <c r="A595" s="25" t="inlineStr">
        <is>
          <t>ORD-11180</t>
        </is>
      </c>
      <c r="B595" s="26" t="n">
        <v>45870</v>
      </c>
      <c r="C595" s="25">
        <f>MONTH(B595)</f>
        <v/>
      </c>
      <c r="D595" s="25" t="inlineStr">
        <is>
          <t>South</t>
        </is>
      </c>
      <c r="E595" s="25" t="inlineStr">
        <is>
          <t>Technology</t>
        </is>
      </c>
      <c r="F595" s="25" t="inlineStr">
        <is>
          <t>Wireless Mouse</t>
        </is>
      </c>
      <c r="G595" s="25" t="n">
        <v>1</v>
      </c>
      <c r="H595" s="27" t="n">
        <v>1200</v>
      </c>
      <c r="I595" s="28" t="n">
        <v>0</v>
      </c>
      <c r="J595" s="27" t="n">
        <v>650</v>
      </c>
      <c r="K595" s="27">
        <f>G595*H595*(1-I595)</f>
        <v/>
      </c>
      <c r="L595" s="27">
        <f>K595-G595*J595</f>
        <v/>
      </c>
    </row>
    <row r="596">
      <c r="A596" s="25" t="inlineStr">
        <is>
          <t>ORD-10049</t>
        </is>
      </c>
      <c r="B596" s="26" t="n">
        <v>45871</v>
      </c>
      <c r="C596" s="25">
        <f>MONTH(B596)</f>
        <v/>
      </c>
      <c r="D596" s="25" t="inlineStr">
        <is>
          <t>South</t>
        </is>
      </c>
      <c r="E596" s="25" t="inlineStr">
        <is>
          <t>Office Supplies</t>
        </is>
      </c>
      <c r="F596" s="25" t="inlineStr">
        <is>
          <t>Notebook Set</t>
        </is>
      </c>
      <c r="G596" s="25" t="n">
        <v>6</v>
      </c>
      <c r="H596" s="27" t="n">
        <v>450</v>
      </c>
      <c r="I596" s="28" t="n">
        <v>0</v>
      </c>
      <c r="J596" s="27" t="n">
        <v>190</v>
      </c>
      <c r="K596" s="27">
        <f>G596*H596*(1-I596)</f>
        <v/>
      </c>
      <c r="L596" s="27">
        <f>K596-G596*J596</f>
        <v/>
      </c>
    </row>
    <row r="597">
      <c r="A597" s="25" t="inlineStr">
        <is>
          <t>ORD-10807</t>
        </is>
      </c>
      <c r="B597" s="26" t="n">
        <v>45871</v>
      </c>
      <c r="C597" s="25">
        <f>MONTH(B597)</f>
        <v/>
      </c>
      <c r="D597" s="25" t="inlineStr">
        <is>
          <t>West</t>
        </is>
      </c>
      <c r="E597" s="25" t="inlineStr">
        <is>
          <t>Technology</t>
        </is>
      </c>
      <c r="F597" s="25" t="inlineStr">
        <is>
          <t>Mechanical Keyboard</t>
        </is>
      </c>
      <c r="G597" s="25" t="n">
        <v>2</v>
      </c>
      <c r="H597" s="27" t="n">
        <v>4200</v>
      </c>
      <c r="I597" s="28" t="n">
        <v>0</v>
      </c>
      <c r="J597" s="27" t="n">
        <v>2500</v>
      </c>
      <c r="K597" s="27">
        <f>G597*H597*(1-I597)</f>
        <v/>
      </c>
      <c r="L597" s="27">
        <f>K597-G597*J597</f>
        <v/>
      </c>
    </row>
    <row r="598">
      <c r="A598" s="25" t="inlineStr">
        <is>
          <t>ORD-11100</t>
        </is>
      </c>
      <c r="B598" s="26" t="n">
        <v>45871</v>
      </c>
      <c r="C598" s="25">
        <f>MONTH(B598)</f>
        <v/>
      </c>
      <c r="D598" s="25" t="inlineStr">
        <is>
          <t>North</t>
        </is>
      </c>
      <c r="E598" s="25" t="inlineStr">
        <is>
          <t>Technology</t>
        </is>
      </c>
      <c r="F598" s="25" t="inlineStr">
        <is>
          <t>Monitor 24"</t>
        </is>
      </c>
      <c r="G598" s="25" t="n">
        <v>1</v>
      </c>
      <c r="H598" s="27" t="n">
        <v>11500</v>
      </c>
      <c r="I598" s="28" t="n">
        <v>0</v>
      </c>
      <c r="J598" s="27" t="n">
        <v>8200</v>
      </c>
      <c r="K598" s="27">
        <f>G598*H598*(1-I598)</f>
        <v/>
      </c>
      <c r="L598" s="27">
        <f>K598-G598*J598</f>
        <v/>
      </c>
    </row>
    <row r="599">
      <c r="A599" s="25" t="inlineStr">
        <is>
          <t>ORD-10069</t>
        </is>
      </c>
      <c r="B599" s="26" t="n">
        <v>45872</v>
      </c>
      <c r="C599" s="25">
        <f>MONTH(B599)</f>
        <v/>
      </c>
      <c r="D599" s="25" t="inlineStr">
        <is>
          <t>North</t>
        </is>
      </c>
      <c r="E599" s="25" t="inlineStr">
        <is>
          <t>Office Supplies</t>
        </is>
      </c>
      <c r="F599" s="25" t="inlineStr">
        <is>
          <t>Desk Organizer</t>
        </is>
      </c>
      <c r="G599" s="25" t="n">
        <v>2</v>
      </c>
      <c r="H599" s="27" t="n">
        <v>850</v>
      </c>
      <c r="I599" s="28" t="n">
        <v>0.15</v>
      </c>
      <c r="J599" s="27" t="n">
        <v>420</v>
      </c>
      <c r="K599" s="27">
        <f>G599*H599*(1-I599)</f>
        <v/>
      </c>
      <c r="L599" s="27">
        <f>K599-G599*J599</f>
        <v/>
      </c>
    </row>
    <row r="600">
      <c r="A600" s="25" t="inlineStr">
        <is>
          <t>ORD-10275</t>
        </is>
      </c>
      <c r="B600" s="26" t="n">
        <v>45872</v>
      </c>
      <c r="C600" s="25">
        <f>MONTH(B600)</f>
        <v/>
      </c>
      <c r="D600" s="25" t="inlineStr">
        <is>
          <t>West</t>
        </is>
      </c>
      <c r="E600" s="25" t="inlineStr">
        <is>
          <t>Accessories</t>
        </is>
      </c>
      <c r="F600" s="25" t="inlineStr">
        <is>
          <t>USB-C Hub</t>
        </is>
      </c>
      <c r="G600" s="25" t="n">
        <v>3</v>
      </c>
      <c r="H600" s="27" t="n">
        <v>1800</v>
      </c>
      <c r="I600" s="28" t="n">
        <v>0.1</v>
      </c>
      <c r="J600" s="27" t="n">
        <v>980</v>
      </c>
      <c r="K600" s="27">
        <f>G600*H600*(1-I600)</f>
        <v/>
      </c>
      <c r="L600" s="27">
        <f>K600-G600*J600</f>
        <v/>
      </c>
    </row>
    <row r="601">
      <c r="A601" s="25" t="inlineStr">
        <is>
          <t>ORD-10642</t>
        </is>
      </c>
      <c r="B601" s="26" t="n">
        <v>45872</v>
      </c>
      <c r="C601" s="25">
        <f>MONTH(B601)</f>
        <v/>
      </c>
      <c r="D601" s="25" t="inlineStr">
        <is>
          <t>North</t>
        </is>
      </c>
      <c r="E601" s="25" t="inlineStr">
        <is>
          <t>Furniture</t>
        </is>
      </c>
      <c r="F601" s="25" t="inlineStr">
        <is>
          <t>Office Chair</t>
        </is>
      </c>
      <c r="G601" s="25" t="n">
        <v>2</v>
      </c>
      <c r="H601" s="27" t="n">
        <v>8500</v>
      </c>
      <c r="I601" s="28" t="n">
        <v>0</v>
      </c>
      <c r="J601" s="27" t="n">
        <v>5600</v>
      </c>
      <c r="K601" s="27">
        <f>G601*H601*(1-I601)</f>
        <v/>
      </c>
      <c r="L601" s="27">
        <f>K601-G601*J601</f>
        <v/>
      </c>
    </row>
    <row r="602">
      <c r="A602" s="25" t="inlineStr">
        <is>
          <t>ORD-10742</t>
        </is>
      </c>
      <c r="B602" s="26" t="n">
        <v>45872</v>
      </c>
      <c r="C602" s="25">
        <f>MONTH(B602)</f>
        <v/>
      </c>
      <c r="D602" s="25" t="inlineStr">
        <is>
          <t>South</t>
        </is>
      </c>
      <c r="E602" s="25" t="inlineStr">
        <is>
          <t>Furniture</t>
        </is>
      </c>
      <c r="F602" s="25" t="inlineStr">
        <is>
          <t>Office Chair</t>
        </is>
      </c>
      <c r="G602" s="25" t="n">
        <v>1</v>
      </c>
      <c r="H602" s="27" t="n">
        <v>8500</v>
      </c>
      <c r="I602" s="28" t="n">
        <v>0.15</v>
      </c>
      <c r="J602" s="27" t="n">
        <v>5600</v>
      </c>
      <c r="K602" s="27">
        <f>G602*H602*(1-I602)</f>
        <v/>
      </c>
      <c r="L602" s="27">
        <f>K602-G602*J602</f>
        <v/>
      </c>
    </row>
    <row r="603">
      <c r="A603" s="25" t="inlineStr">
        <is>
          <t>ORD-10772</t>
        </is>
      </c>
      <c r="B603" s="26" t="n">
        <v>45872</v>
      </c>
      <c r="C603" s="25">
        <f>MONTH(B603)</f>
        <v/>
      </c>
      <c r="D603" s="25" t="inlineStr">
        <is>
          <t>West</t>
        </is>
      </c>
      <c r="E603" s="25" t="inlineStr">
        <is>
          <t>Technology</t>
        </is>
      </c>
      <c r="F603" s="25" t="inlineStr">
        <is>
          <t>Mechanical Keyboard</t>
        </is>
      </c>
      <c r="G603" s="25" t="n">
        <v>1</v>
      </c>
      <c r="H603" s="27" t="n">
        <v>4200</v>
      </c>
      <c r="I603" s="28" t="n">
        <v>0.05</v>
      </c>
      <c r="J603" s="27" t="n">
        <v>2500</v>
      </c>
      <c r="K603" s="27">
        <f>G603*H603*(1-I603)</f>
        <v/>
      </c>
      <c r="L603" s="27">
        <f>K603-G603*J603</f>
        <v/>
      </c>
    </row>
    <row r="604">
      <c r="A604" s="25" t="inlineStr">
        <is>
          <t>ORD-10164</t>
        </is>
      </c>
      <c r="B604" s="26" t="n">
        <v>45873</v>
      </c>
      <c r="C604" s="25">
        <f>MONTH(B604)</f>
        <v/>
      </c>
      <c r="D604" s="25" t="inlineStr">
        <is>
          <t>East</t>
        </is>
      </c>
      <c r="E604" s="25" t="inlineStr">
        <is>
          <t>Office Supplies</t>
        </is>
      </c>
      <c r="F604" s="25" t="inlineStr">
        <is>
          <t>Printer Paper Box</t>
        </is>
      </c>
      <c r="G604" s="25" t="n">
        <v>4</v>
      </c>
      <c r="H604" s="27" t="n">
        <v>1600</v>
      </c>
      <c r="I604" s="28" t="n">
        <v>0.1</v>
      </c>
      <c r="J604" s="27" t="n">
        <v>1050</v>
      </c>
      <c r="K604" s="27">
        <f>G604*H604*(1-I604)</f>
        <v/>
      </c>
      <c r="L604" s="27">
        <f>K604-G604*J604</f>
        <v/>
      </c>
    </row>
    <row r="605">
      <c r="A605" s="25" t="inlineStr">
        <is>
          <t>ORD-10305</t>
        </is>
      </c>
      <c r="B605" s="26" t="n">
        <v>45873</v>
      </c>
      <c r="C605" s="25">
        <f>MONTH(B605)</f>
        <v/>
      </c>
      <c r="D605" s="25" t="inlineStr">
        <is>
          <t>North</t>
        </is>
      </c>
      <c r="E605" s="25" t="inlineStr">
        <is>
          <t>Office Supplies</t>
        </is>
      </c>
      <c r="F605" s="25" t="inlineStr">
        <is>
          <t>Desk Organizer</t>
        </is>
      </c>
      <c r="G605" s="25" t="n">
        <v>1</v>
      </c>
      <c r="H605" s="27" t="n">
        <v>850</v>
      </c>
      <c r="I605" s="28" t="n">
        <v>0</v>
      </c>
      <c r="J605" s="27" t="n">
        <v>420</v>
      </c>
      <c r="K605" s="27">
        <f>G605*H605*(1-I605)</f>
        <v/>
      </c>
      <c r="L605" s="27">
        <f>K605-G605*J605</f>
        <v/>
      </c>
    </row>
    <row r="606">
      <c r="A606" s="25" t="inlineStr">
        <is>
          <t>ORD-10659</t>
        </is>
      </c>
      <c r="B606" s="26" t="n">
        <v>45873</v>
      </c>
      <c r="C606" s="25">
        <f>MONTH(B606)</f>
        <v/>
      </c>
      <c r="D606" s="25" t="inlineStr">
        <is>
          <t>North</t>
        </is>
      </c>
      <c r="E606" s="25" t="inlineStr">
        <is>
          <t>Office Supplies</t>
        </is>
      </c>
      <c r="F606" s="25" t="inlineStr">
        <is>
          <t>Desk Organizer</t>
        </is>
      </c>
      <c r="G606" s="25" t="n">
        <v>2</v>
      </c>
      <c r="H606" s="27" t="n">
        <v>850</v>
      </c>
      <c r="I606" s="28" t="n">
        <v>0</v>
      </c>
      <c r="J606" s="27" t="n">
        <v>420</v>
      </c>
      <c r="K606" s="27">
        <f>G606*H606*(1-I606)</f>
        <v/>
      </c>
      <c r="L606" s="27">
        <f>K606-G606*J606</f>
        <v/>
      </c>
    </row>
    <row r="607">
      <c r="A607" s="25" t="inlineStr">
        <is>
          <t>ORD-11067</t>
        </is>
      </c>
      <c r="B607" s="26" t="n">
        <v>45873</v>
      </c>
      <c r="C607" s="25">
        <f>MONTH(B607)</f>
        <v/>
      </c>
      <c r="D607" s="25" t="inlineStr">
        <is>
          <t>North</t>
        </is>
      </c>
      <c r="E607" s="25" t="inlineStr">
        <is>
          <t>Office Supplies</t>
        </is>
      </c>
      <c r="F607" s="25" t="inlineStr">
        <is>
          <t>Notebook Set</t>
        </is>
      </c>
      <c r="G607" s="25" t="n">
        <v>4</v>
      </c>
      <c r="H607" s="27" t="n">
        <v>450</v>
      </c>
      <c r="I607" s="28" t="n">
        <v>0.15</v>
      </c>
      <c r="J607" s="27" t="n">
        <v>190</v>
      </c>
      <c r="K607" s="27">
        <f>G607*H607*(1-I607)</f>
        <v/>
      </c>
      <c r="L607" s="27">
        <f>K607-G607*J607</f>
        <v/>
      </c>
    </row>
    <row r="608">
      <c r="A608" s="25" t="inlineStr">
        <is>
          <t>ORD-10025</t>
        </is>
      </c>
      <c r="B608" s="26" t="n">
        <v>45874</v>
      </c>
      <c r="C608" s="25">
        <f>MONTH(B608)</f>
        <v/>
      </c>
      <c r="D608" s="25" t="inlineStr">
        <is>
          <t>West</t>
        </is>
      </c>
      <c r="E608" s="25" t="inlineStr">
        <is>
          <t>Technology</t>
        </is>
      </c>
      <c r="F608" s="25" t="inlineStr">
        <is>
          <t>Wireless Mouse</t>
        </is>
      </c>
      <c r="G608" s="25" t="n">
        <v>2</v>
      </c>
      <c r="H608" s="27" t="n">
        <v>1200</v>
      </c>
      <c r="I608" s="28" t="n">
        <v>0.05</v>
      </c>
      <c r="J608" s="27" t="n">
        <v>650</v>
      </c>
      <c r="K608" s="27">
        <f>G608*H608*(1-I608)</f>
        <v/>
      </c>
      <c r="L608" s="27">
        <f>K608-G608*J608</f>
        <v/>
      </c>
    </row>
    <row r="609">
      <c r="A609" s="25" t="inlineStr">
        <is>
          <t>ORD-10290</t>
        </is>
      </c>
      <c r="B609" s="26" t="n">
        <v>45874</v>
      </c>
      <c r="C609" s="25">
        <f>MONTH(B609)</f>
        <v/>
      </c>
      <c r="D609" s="25" t="inlineStr">
        <is>
          <t>South</t>
        </is>
      </c>
      <c r="E609" s="25" t="inlineStr">
        <is>
          <t>Technology</t>
        </is>
      </c>
      <c r="F609" s="25" t="inlineStr">
        <is>
          <t>Mechanical Keyboard</t>
        </is>
      </c>
      <c r="G609" s="25" t="n">
        <v>2</v>
      </c>
      <c r="H609" s="27" t="n">
        <v>4200</v>
      </c>
      <c r="I609" s="28" t="n">
        <v>0.2</v>
      </c>
      <c r="J609" s="27" t="n">
        <v>2500</v>
      </c>
      <c r="K609" s="27">
        <f>G609*H609*(1-I609)</f>
        <v/>
      </c>
      <c r="L609" s="27">
        <f>K609-G609*J609</f>
        <v/>
      </c>
    </row>
    <row r="610">
      <c r="A610" s="25" t="inlineStr">
        <is>
          <t>ORD-10822</t>
        </is>
      </c>
      <c r="B610" s="26" t="n">
        <v>45874</v>
      </c>
      <c r="C610" s="25">
        <f>MONTH(B610)</f>
        <v/>
      </c>
      <c r="D610" s="25" t="inlineStr">
        <is>
          <t>South</t>
        </is>
      </c>
      <c r="E610" s="25" t="inlineStr">
        <is>
          <t>Office Supplies</t>
        </is>
      </c>
      <c r="F610" s="25" t="inlineStr">
        <is>
          <t>Printer Paper Box</t>
        </is>
      </c>
      <c r="G610" s="25" t="n">
        <v>2</v>
      </c>
      <c r="H610" s="27" t="n">
        <v>1600</v>
      </c>
      <c r="I610" s="28" t="n">
        <v>0.05</v>
      </c>
      <c r="J610" s="27" t="n">
        <v>1050</v>
      </c>
      <c r="K610" s="27">
        <f>G610*H610*(1-I610)</f>
        <v/>
      </c>
      <c r="L610" s="27">
        <f>K610-G610*J610</f>
        <v/>
      </c>
    </row>
    <row r="611">
      <c r="A611" s="25" t="inlineStr">
        <is>
          <t>ORD-10276</t>
        </is>
      </c>
      <c r="B611" s="26" t="n">
        <v>45875</v>
      </c>
      <c r="C611" s="25">
        <f>MONTH(B611)</f>
        <v/>
      </c>
      <c r="D611" s="25" t="inlineStr">
        <is>
          <t>West</t>
        </is>
      </c>
      <c r="E611" s="25" t="inlineStr">
        <is>
          <t>Accessories</t>
        </is>
      </c>
      <c r="F611" s="25" t="inlineStr">
        <is>
          <t>USB-C Hub</t>
        </is>
      </c>
      <c r="G611" s="25" t="n">
        <v>2</v>
      </c>
      <c r="H611" s="27" t="n">
        <v>1800</v>
      </c>
      <c r="I611" s="28" t="n">
        <v>0</v>
      </c>
      <c r="J611" s="27" t="n">
        <v>980</v>
      </c>
      <c r="K611" s="27">
        <f>G611*H611*(1-I611)</f>
        <v/>
      </c>
      <c r="L611" s="27">
        <f>K611-G611*J611</f>
        <v/>
      </c>
    </row>
    <row r="612">
      <c r="A612" s="25" t="inlineStr">
        <is>
          <t>ORD-10490</t>
        </is>
      </c>
      <c r="B612" s="26" t="n">
        <v>45875</v>
      </c>
      <c r="C612" s="25">
        <f>MONTH(B612)</f>
        <v/>
      </c>
      <c r="D612" s="25" t="inlineStr">
        <is>
          <t>North</t>
        </is>
      </c>
      <c r="E612" s="25" t="inlineStr">
        <is>
          <t>Office Supplies</t>
        </is>
      </c>
      <c r="F612" s="25" t="inlineStr">
        <is>
          <t>Printer Paper Box</t>
        </is>
      </c>
      <c r="G612" s="25" t="n">
        <v>3</v>
      </c>
      <c r="H612" s="27" t="n">
        <v>1600</v>
      </c>
      <c r="I612" s="28" t="n">
        <v>0.1</v>
      </c>
      <c r="J612" s="27" t="n">
        <v>1050</v>
      </c>
      <c r="K612" s="27">
        <f>G612*H612*(1-I612)</f>
        <v/>
      </c>
      <c r="L612" s="27">
        <f>K612-G612*J612</f>
        <v/>
      </c>
    </row>
    <row r="613">
      <c r="A613" s="25" t="inlineStr">
        <is>
          <t>ORD-10521</t>
        </is>
      </c>
      <c r="B613" s="26" t="n">
        <v>45875</v>
      </c>
      <c r="C613" s="25">
        <f>MONTH(B613)</f>
        <v/>
      </c>
      <c r="D613" s="25" t="inlineStr">
        <is>
          <t>South</t>
        </is>
      </c>
      <c r="E613" s="25" t="inlineStr">
        <is>
          <t>Accessories</t>
        </is>
      </c>
      <c r="F613" s="25" t="inlineStr">
        <is>
          <t>USB-C Hub</t>
        </is>
      </c>
      <c r="G613" s="25" t="n">
        <v>4</v>
      </c>
      <c r="H613" s="27" t="n">
        <v>1800</v>
      </c>
      <c r="I613" s="28" t="n">
        <v>0.1</v>
      </c>
      <c r="J613" s="27" t="n">
        <v>980</v>
      </c>
      <c r="K613" s="27">
        <f>G613*H613*(1-I613)</f>
        <v/>
      </c>
      <c r="L613" s="27">
        <f>K613-G613*J613</f>
        <v/>
      </c>
    </row>
    <row r="614">
      <c r="A614" s="25" t="inlineStr">
        <is>
          <t>ORD-10072</t>
        </is>
      </c>
      <c r="B614" s="26" t="n">
        <v>45876</v>
      </c>
      <c r="C614" s="25">
        <f>MONTH(B614)</f>
        <v/>
      </c>
      <c r="D614" s="25" t="inlineStr">
        <is>
          <t>North</t>
        </is>
      </c>
      <c r="E614" s="25" t="inlineStr">
        <is>
          <t>Technology</t>
        </is>
      </c>
      <c r="F614" s="25" t="inlineStr">
        <is>
          <t>Mechanical Keyboard</t>
        </is>
      </c>
      <c r="G614" s="25" t="n">
        <v>3</v>
      </c>
      <c r="H614" s="27" t="n">
        <v>4200</v>
      </c>
      <c r="I614" s="28" t="n">
        <v>0.1</v>
      </c>
      <c r="J614" s="27" t="n">
        <v>2500</v>
      </c>
      <c r="K614" s="27">
        <f>G614*H614*(1-I614)</f>
        <v/>
      </c>
      <c r="L614" s="27">
        <f>K614-G614*J614</f>
        <v/>
      </c>
    </row>
    <row r="615">
      <c r="A615" s="25" t="inlineStr">
        <is>
          <t>ORD-10347</t>
        </is>
      </c>
      <c r="B615" s="26" t="n">
        <v>45876</v>
      </c>
      <c r="C615" s="25">
        <f>MONTH(B615)</f>
        <v/>
      </c>
      <c r="D615" s="25" t="inlineStr">
        <is>
          <t>South</t>
        </is>
      </c>
      <c r="E615" s="25" t="inlineStr">
        <is>
          <t>Technology</t>
        </is>
      </c>
      <c r="F615" s="25" t="inlineStr">
        <is>
          <t>Wireless Mouse</t>
        </is>
      </c>
      <c r="G615" s="25" t="n">
        <v>2</v>
      </c>
      <c r="H615" s="27" t="n">
        <v>1200</v>
      </c>
      <c r="I615" s="28" t="n">
        <v>0.05</v>
      </c>
      <c r="J615" s="27" t="n">
        <v>650</v>
      </c>
      <c r="K615" s="27">
        <f>G615*H615*(1-I615)</f>
        <v/>
      </c>
      <c r="L615" s="27">
        <f>K615-G615*J615</f>
        <v/>
      </c>
    </row>
    <row r="616">
      <c r="A616" s="25" t="inlineStr">
        <is>
          <t>ORD-10967</t>
        </is>
      </c>
      <c r="B616" s="26" t="n">
        <v>45876</v>
      </c>
      <c r="C616" s="25">
        <f>MONTH(B616)</f>
        <v/>
      </c>
      <c r="D616" s="25" t="inlineStr">
        <is>
          <t>West</t>
        </is>
      </c>
      <c r="E616" s="25" t="inlineStr">
        <is>
          <t>Office Supplies</t>
        </is>
      </c>
      <c r="F616" s="25" t="inlineStr">
        <is>
          <t>Printer Paper Box</t>
        </is>
      </c>
      <c r="G616" s="25" t="n">
        <v>5</v>
      </c>
      <c r="H616" s="27" t="n">
        <v>1600</v>
      </c>
      <c r="I616" s="28" t="n">
        <v>0</v>
      </c>
      <c r="J616" s="27" t="n">
        <v>1050</v>
      </c>
      <c r="K616" s="27">
        <f>G616*H616*(1-I616)</f>
        <v/>
      </c>
      <c r="L616" s="27">
        <f>K616-G616*J616</f>
        <v/>
      </c>
    </row>
    <row r="617">
      <c r="A617" s="25" t="inlineStr">
        <is>
          <t>ORD-10286</t>
        </is>
      </c>
      <c r="B617" s="26" t="n">
        <v>45877</v>
      </c>
      <c r="C617" s="25">
        <f>MONTH(B617)</f>
        <v/>
      </c>
      <c r="D617" s="25" t="inlineStr">
        <is>
          <t>West</t>
        </is>
      </c>
      <c r="E617" s="25" t="inlineStr">
        <is>
          <t>Accessories</t>
        </is>
      </c>
      <c r="F617" s="25" t="inlineStr">
        <is>
          <t>USB-C Hub</t>
        </is>
      </c>
      <c r="G617" s="25" t="n">
        <v>1</v>
      </c>
      <c r="H617" s="27" t="n">
        <v>1800</v>
      </c>
      <c r="I617" s="28" t="n">
        <v>0.2</v>
      </c>
      <c r="J617" s="27" t="n">
        <v>980</v>
      </c>
      <c r="K617" s="27">
        <f>G617*H617*(1-I617)</f>
        <v/>
      </c>
      <c r="L617" s="27">
        <f>K617-G617*J617</f>
        <v/>
      </c>
    </row>
    <row r="618">
      <c r="A618" s="25" t="inlineStr">
        <is>
          <t>ORD-11129</t>
        </is>
      </c>
      <c r="B618" s="26" t="n">
        <v>45877</v>
      </c>
      <c r="C618" s="25">
        <f>MONTH(B618)</f>
        <v/>
      </c>
      <c r="D618" s="25" t="inlineStr">
        <is>
          <t>West</t>
        </is>
      </c>
      <c r="E618" s="25" t="inlineStr">
        <is>
          <t>Office Supplies</t>
        </is>
      </c>
      <c r="F618" s="25" t="inlineStr">
        <is>
          <t>Notebook Set</t>
        </is>
      </c>
      <c r="G618" s="25" t="n">
        <v>7</v>
      </c>
      <c r="H618" s="27" t="n">
        <v>450</v>
      </c>
      <c r="I618" s="28" t="n">
        <v>0.05</v>
      </c>
      <c r="J618" s="27" t="n">
        <v>190</v>
      </c>
      <c r="K618" s="27">
        <f>G618*H618*(1-I618)</f>
        <v/>
      </c>
      <c r="L618" s="27">
        <f>K618-G618*J618</f>
        <v/>
      </c>
    </row>
    <row r="619">
      <c r="A619" s="25" t="inlineStr">
        <is>
          <t>ORD-10736</t>
        </is>
      </c>
      <c r="B619" s="26" t="n">
        <v>45878</v>
      </c>
      <c r="C619" s="25">
        <f>MONTH(B619)</f>
        <v/>
      </c>
      <c r="D619" s="25" t="inlineStr">
        <is>
          <t>North</t>
        </is>
      </c>
      <c r="E619" s="25" t="inlineStr">
        <is>
          <t>Office Supplies</t>
        </is>
      </c>
      <c r="F619" s="25" t="inlineStr">
        <is>
          <t>Desk Organizer</t>
        </is>
      </c>
      <c r="G619" s="25" t="n">
        <v>5</v>
      </c>
      <c r="H619" s="27" t="n">
        <v>850</v>
      </c>
      <c r="I619" s="28" t="n">
        <v>0</v>
      </c>
      <c r="J619" s="27" t="n">
        <v>420</v>
      </c>
      <c r="K619" s="27">
        <f>G619*H619*(1-I619)</f>
        <v/>
      </c>
      <c r="L619" s="27">
        <f>K619-G619*J619</f>
        <v/>
      </c>
    </row>
    <row r="620">
      <c r="A620" s="25" t="inlineStr">
        <is>
          <t>ORD-10951</t>
        </is>
      </c>
      <c r="B620" s="26" t="n">
        <v>45878</v>
      </c>
      <c r="C620" s="25">
        <f>MONTH(B620)</f>
        <v/>
      </c>
      <c r="D620" s="25" t="inlineStr">
        <is>
          <t>South</t>
        </is>
      </c>
      <c r="E620" s="25" t="inlineStr">
        <is>
          <t>Furniture</t>
        </is>
      </c>
      <c r="F620" s="25" t="inlineStr">
        <is>
          <t>Office Chair</t>
        </is>
      </c>
      <c r="G620" s="25" t="n">
        <v>2</v>
      </c>
      <c r="H620" s="27" t="n">
        <v>8500</v>
      </c>
      <c r="I620" s="28" t="n">
        <v>0.05</v>
      </c>
      <c r="J620" s="27" t="n">
        <v>5600</v>
      </c>
      <c r="K620" s="27">
        <f>G620*H620*(1-I620)</f>
        <v/>
      </c>
      <c r="L620" s="27">
        <f>K620-G620*J620</f>
        <v/>
      </c>
    </row>
    <row r="621">
      <c r="A621" s="25" t="inlineStr">
        <is>
          <t>ORD-10397</t>
        </is>
      </c>
      <c r="B621" s="26" t="n">
        <v>45879</v>
      </c>
      <c r="C621" s="25">
        <f>MONTH(B621)</f>
        <v/>
      </c>
      <c r="D621" s="25" t="inlineStr">
        <is>
          <t>South</t>
        </is>
      </c>
      <c r="E621" s="25" t="inlineStr">
        <is>
          <t>Office Supplies</t>
        </is>
      </c>
      <c r="F621" s="25" t="inlineStr">
        <is>
          <t>Printer Paper Box</t>
        </is>
      </c>
      <c r="G621" s="25" t="n">
        <v>4</v>
      </c>
      <c r="H621" s="27" t="n">
        <v>1600</v>
      </c>
      <c r="I621" s="28" t="n">
        <v>0</v>
      </c>
      <c r="J621" s="27" t="n">
        <v>1050</v>
      </c>
      <c r="K621" s="27">
        <f>G621*H621*(1-I621)</f>
        <v/>
      </c>
      <c r="L621" s="27">
        <f>K621-G621*J621</f>
        <v/>
      </c>
    </row>
    <row r="622">
      <c r="A622" s="25" t="inlineStr">
        <is>
          <t>ORD-10430</t>
        </is>
      </c>
      <c r="B622" s="26" t="n">
        <v>45879</v>
      </c>
      <c r="C622" s="25">
        <f>MONTH(B622)</f>
        <v/>
      </c>
      <c r="D622" s="25" t="inlineStr">
        <is>
          <t>South</t>
        </is>
      </c>
      <c r="E622" s="25" t="inlineStr">
        <is>
          <t>Furniture</t>
        </is>
      </c>
      <c r="F622" s="25" t="inlineStr">
        <is>
          <t>Standing Desk</t>
        </is>
      </c>
      <c r="G622" s="25" t="n">
        <v>2</v>
      </c>
      <c r="H622" s="27" t="n">
        <v>19500</v>
      </c>
      <c r="I622" s="28" t="n">
        <v>0.2</v>
      </c>
      <c r="J622" s="27" t="n">
        <v>13800</v>
      </c>
      <c r="K622" s="27">
        <f>G622*H622*(1-I622)</f>
        <v/>
      </c>
      <c r="L622" s="27">
        <f>K622-G622*J622</f>
        <v/>
      </c>
    </row>
    <row r="623">
      <c r="A623" s="25" t="inlineStr">
        <is>
          <t>ORD-10810</t>
        </is>
      </c>
      <c r="B623" s="26" t="n">
        <v>45879</v>
      </c>
      <c r="C623" s="25">
        <f>MONTH(B623)</f>
        <v/>
      </c>
      <c r="D623" s="25" t="inlineStr">
        <is>
          <t>West</t>
        </is>
      </c>
      <c r="E623" s="25" t="inlineStr">
        <is>
          <t>Office Supplies</t>
        </is>
      </c>
      <c r="F623" s="25" t="inlineStr">
        <is>
          <t>Desk Organizer</t>
        </is>
      </c>
      <c r="G623" s="25" t="n">
        <v>5</v>
      </c>
      <c r="H623" s="27" t="n">
        <v>850</v>
      </c>
      <c r="I623" s="28" t="n">
        <v>0.05</v>
      </c>
      <c r="J623" s="27" t="n">
        <v>420</v>
      </c>
      <c r="K623" s="27">
        <f>G623*H623*(1-I623)</f>
        <v/>
      </c>
      <c r="L623" s="27">
        <f>K623-G623*J623</f>
        <v/>
      </c>
    </row>
    <row r="624">
      <c r="A624" s="25" t="inlineStr">
        <is>
          <t>ORD-10106</t>
        </is>
      </c>
      <c r="B624" s="26" t="n">
        <v>45880</v>
      </c>
      <c r="C624" s="25">
        <f>MONTH(B624)</f>
        <v/>
      </c>
      <c r="D624" s="25" t="inlineStr">
        <is>
          <t>South</t>
        </is>
      </c>
      <c r="E624" s="25" t="inlineStr">
        <is>
          <t>Office Supplies</t>
        </is>
      </c>
      <c r="F624" s="25" t="inlineStr">
        <is>
          <t>Desk Organizer</t>
        </is>
      </c>
      <c r="G624" s="25" t="n">
        <v>4</v>
      </c>
      <c r="H624" s="27" t="n">
        <v>850</v>
      </c>
      <c r="I624" s="28" t="n">
        <v>0</v>
      </c>
      <c r="J624" s="27" t="n">
        <v>420</v>
      </c>
      <c r="K624" s="27">
        <f>G624*H624*(1-I624)</f>
        <v/>
      </c>
      <c r="L624" s="27">
        <f>K624-G624*J624</f>
        <v/>
      </c>
    </row>
    <row r="625">
      <c r="A625" s="25" t="inlineStr">
        <is>
          <t>ORD-10657</t>
        </is>
      </c>
      <c r="B625" s="26" t="n">
        <v>45880</v>
      </c>
      <c r="C625" s="25">
        <f>MONTH(B625)</f>
        <v/>
      </c>
      <c r="D625" s="25" t="inlineStr">
        <is>
          <t>North</t>
        </is>
      </c>
      <c r="E625" s="25" t="inlineStr">
        <is>
          <t>Accessories</t>
        </is>
      </c>
      <c r="F625" s="25" t="inlineStr">
        <is>
          <t>USB-C Hub</t>
        </is>
      </c>
      <c r="G625" s="25" t="n">
        <v>3</v>
      </c>
      <c r="H625" s="27" t="n">
        <v>1800</v>
      </c>
      <c r="I625" s="28" t="n">
        <v>0</v>
      </c>
      <c r="J625" s="27" t="n">
        <v>980</v>
      </c>
      <c r="K625" s="27">
        <f>G625*H625*(1-I625)</f>
        <v/>
      </c>
      <c r="L625" s="27">
        <f>K625-G625*J625</f>
        <v/>
      </c>
    </row>
    <row r="626">
      <c r="A626" s="25" t="inlineStr">
        <is>
          <t>ORD-10876</t>
        </is>
      </c>
      <c r="B626" s="26" t="n">
        <v>45880</v>
      </c>
      <c r="C626" s="25">
        <f>MONTH(B626)</f>
        <v/>
      </c>
      <c r="D626" s="25" t="inlineStr">
        <is>
          <t>East</t>
        </is>
      </c>
      <c r="E626" s="25" t="inlineStr">
        <is>
          <t>Technology</t>
        </is>
      </c>
      <c r="F626" s="25" t="inlineStr">
        <is>
          <t>Wireless Mouse</t>
        </is>
      </c>
      <c r="G626" s="25" t="n">
        <v>5</v>
      </c>
      <c r="H626" s="27" t="n">
        <v>1200</v>
      </c>
      <c r="I626" s="28" t="n">
        <v>0</v>
      </c>
      <c r="J626" s="27" t="n">
        <v>650</v>
      </c>
      <c r="K626" s="27">
        <f>G626*H626*(1-I626)</f>
        <v/>
      </c>
      <c r="L626" s="27">
        <f>K626-G626*J626</f>
        <v/>
      </c>
    </row>
    <row r="627">
      <c r="A627" s="25" t="inlineStr">
        <is>
          <t>ORD-10970</t>
        </is>
      </c>
      <c r="B627" s="26" t="n">
        <v>45880</v>
      </c>
      <c r="C627" s="25">
        <f>MONTH(B627)</f>
        <v/>
      </c>
      <c r="D627" s="25" t="inlineStr">
        <is>
          <t>North</t>
        </is>
      </c>
      <c r="E627" s="25" t="inlineStr">
        <is>
          <t>Furniture</t>
        </is>
      </c>
      <c r="F627" s="25" t="inlineStr">
        <is>
          <t>Standing Desk</t>
        </is>
      </c>
      <c r="G627" s="25" t="n">
        <v>2</v>
      </c>
      <c r="H627" s="27" t="n">
        <v>19500</v>
      </c>
      <c r="I627" s="28" t="n">
        <v>0.2</v>
      </c>
      <c r="J627" s="27" t="n">
        <v>13800</v>
      </c>
      <c r="K627" s="27">
        <f>G627*H627*(1-I627)</f>
        <v/>
      </c>
      <c r="L627" s="27">
        <f>K627-G627*J627</f>
        <v/>
      </c>
    </row>
    <row r="628">
      <c r="A628" s="25" t="inlineStr">
        <is>
          <t>ORD-11156</t>
        </is>
      </c>
      <c r="B628" s="26" t="n">
        <v>45880</v>
      </c>
      <c r="C628" s="25">
        <f>MONTH(B628)</f>
        <v/>
      </c>
      <c r="D628" s="25" t="inlineStr">
        <is>
          <t>South</t>
        </is>
      </c>
      <c r="E628" s="25" t="inlineStr">
        <is>
          <t>Accessories</t>
        </is>
      </c>
      <c r="F628" s="25" t="inlineStr">
        <is>
          <t>Webcam</t>
        </is>
      </c>
      <c r="G628" s="25" t="n">
        <v>3</v>
      </c>
      <c r="H628" s="27" t="n">
        <v>3200</v>
      </c>
      <c r="I628" s="28" t="n">
        <v>0</v>
      </c>
      <c r="J628" s="27" t="n">
        <v>1900</v>
      </c>
      <c r="K628" s="27">
        <f>G628*H628*(1-I628)</f>
        <v/>
      </c>
      <c r="L628" s="27">
        <f>K628-G628*J628</f>
        <v/>
      </c>
    </row>
    <row r="629">
      <c r="A629" s="25" t="inlineStr">
        <is>
          <t>ORD-10277</t>
        </is>
      </c>
      <c r="B629" s="26" t="n">
        <v>45881</v>
      </c>
      <c r="C629" s="25">
        <f>MONTH(B629)</f>
        <v/>
      </c>
      <c r="D629" s="25" t="inlineStr">
        <is>
          <t>West</t>
        </is>
      </c>
      <c r="E629" s="25" t="inlineStr">
        <is>
          <t>Office Supplies</t>
        </is>
      </c>
      <c r="F629" s="25" t="inlineStr">
        <is>
          <t>Printer Paper Box</t>
        </is>
      </c>
      <c r="G629" s="25" t="n">
        <v>5</v>
      </c>
      <c r="H629" s="27" t="n">
        <v>1600</v>
      </c>
      <c r="I629" s="28" t="n">
        <v>0.05</v>
      </c>
      <c r="J629" s="27" t="n">
        <v>1050</v>
      </c>
      <c r="K629" s="27">
        <f>G629*H629*(1-I629)</f>
        <v/>
      </c>
      <c r="L629" s="27">
        <f>K629-G629*J629</f>
        <v/>
      </c>
    </row>
    <row r="630">
      <c r="A630" s="25" t="inlineStr">
        <is>
          <t>ORD-10425</t>
        </is>
      </c>
      <c r="B630" s="26" t="n">
        <v>45881</v>
      </c>
      <c r="C630" s="25">
        <f>MONTH(B630)</f>
        <v/>
      </c>
      <c r="D630" s="25" t="inlineStr">
        <is>
          <t>West</t>
        </is>
      </c>
      <c r="E630" s="25" t="inlineStr">
        <is>
          <t>Office Supplies</t>
        </is>
      </c>
      <c r="F630" s="25" t="inlineStr">
        <is>
          <t>Printer Paper Box</t>
        </is>
      </c>
      <c r="G630" s="25" t="n">
        <v>5</v>
      </c>
      <c r="H630" s="27" t="n">
        <v>1600</v>
      </c>
      <c r="I630" s="28" t="n">
        <v>0.1</v>
      </c>
      <c r="J630" s="27" t="n">
        <v>1050</v>
      </c>
      <c r="K630" s="27">
        <f>G630*H630*(1-I630)</f>
        <v/>
      </c>
      <c r="L630" s="27">
        <f>K630-G630*J630</f>
        <v/>
      </c>
    </row>
    <row r="631">
      <c r="A631" s="25" t="inlineStr">
        <is>
          <t>ORD-11008</t>
        </is>
      </c>
      <c r="B631" s="26" t="n">
        <v>45881</v>
      </c>
      <c r="C631" s="25">
        <f>MONTH(B631)</f>
        <v/>
      </c>
      <c r="D631" s="25" t="inlineStr">
        <is>
          <t>West</t>
        </is>
      </c>
      <c r="E631" s="25" t="inlineStr">
        <is>
          <t>Office Supplies</t>
        </is>
      </c>
      <c r="F631" s="25" t="inlineStr">
        <is>
          <t>Notebook Set</t>
        </is>
      </c>
      <c r="G631" s="25" t="n">
        <v>6</v>
      </c>
      <c r="H631" s="27" t="n">
        <v>450</v>
      </c>
      <c r="I631" s="28" t="n">
        <v>0.15</v>
      </c>
      <c r="J631" s="27" t="n">
        <v>190</v>
      </c>
      <c r="K631" s="27">
        <f>G631*H631*(1-I631)</f>
        <v/>
      </c>
      <c r="L631" s="27">
        <f>K631-G631*J631</f>
        <v/>
      </c>
    </row>
    <row r="632">
      <c r="A632" s="25" t="inlineStr">
        <is>
          <t>ORD-10138</t>
        </is>
      </c>
      <c r="B632" s="26" t="n">
        <v>45883</v>
      </c>
      <c r="C632" s="25">
        <f>MONTH(B632)</f>
        <v/>
      </c>
      <c r="D632" s="25" t="inlineStr">
        <is>
          <t>West</t>
        </is>
      </c>
      <c r="E632" s="25" t="inlineStr">
        <is>
          <t>Office Supplies</t>
        </is>
      </c>
      <c r="F632" s="25" t="inlineStr">
        <is>
          <t>Notebook Set</t>
        </is>
      </c>
      <c r="G632" s="25" t="n">
        <v>7</v>
      </c>
      <c r="H632" s="27" t="n">
        <v>450</v>
      </c>
      <c r="I632" s="28" t="n">
        <v>0</v>
      </c>
      <c r="J632" s="27" t="n">
        <v>190</v>
      </c>
      <c r="K632" s="27">
        <f>G632*H632*(1-I632)</f>
        <v/>
      </c>
      <c r="L632" s="27">
        <f>K632-G632*J632</f>
        <v/>
      </c>
    </row>
    <row r="633">
      <c r="A633" s="25" t="inlineStr">
        <is>
          <t>ORD-10479</t>
        </is>
      </c>
      <c r="B633" s="26" t="n">
        <v>45883</v>
      </c>
      <c r="C633" s="25">
        <f>MONTH(B633)</f>
        <v/>
      </c>
      <c r="D633" s="25" t="inlineStr">
        <is>
          <t>West</t>
        </is>
      </c>
      <c r="E633" s="25" t="inlineStr">
        <is>
          <t>Furniture</t>
        </is>
      </c>
      <c r="F633" s="25" t="inlineStr">
        <is>
          <t>Office Chair</t>
        </is>
      </c>
      <c r="G633" s="25" t="n">
        <v>1</v>
      </c>
      <c r="H633" s="27" t="n">
        <v>8500</v>
      </c>
      <c r="I633" s="28" t="n">
        <v>0.2</v>
      </c>
      <c r="J633" s="27" t="n">
        <v>5600</v>
      </c>
      <c r="K633" s="27">
        <f>G633*H633*(1-I633)</f>
        <v/>
      </c>
      <c r="L633" s="27">
        <f>K633-G633*J633</f>
        <v/>
      </c>
    </row>
    <row r="634">
      <c r="A634" s="25" t="inlineStr">
        <is>
          <t>ORD-10087</t>
        </is>
      </c>
      <c r="B634" s="26" t="n">
        <v>45884</v>
      </c>
      <c r="C634" s="25">
        <f>MONTH(B634)</f>
        <v/>
      </c>
      <c r="D634" s="25" t="inlineStr">
        <is>
          <t>East</t>
        </is>
      </c>
      <c r="E634" s="25" t="inlineStr">
        <is>
          <t>Technology</t>
        </is>
      </c>
      <c r="F634" s="25" t="inlineStr">
        <is>
          <t>Wireless Mouse</t>
        </is>
      </c>
      <c r="G634" s="25" t="n">
        <v>5</v>
      </c>
      <c r="H634" s="27" t="n">
        <v>1200</v>
      </c>
      <c r="I634" s="28" t="n">
        <v>0.15</v>
      </c>
      <c r="J634" s="27" t="n">
        <v>650</v>
      </c>
      <c r="K634" s="27">
        <f>G634*H634*(1-I634)</f>
        <v/>
      </c>
      <c r="L634" s="27">
        <f>K634-G634*J634</f>
        <v/>
      </c>
    </row>
    <row r="635">
      <c r="A635" s="25" t="inlineStr">
        <is>
          <t>ORD-10202</t>
        </is>
      </c>
      <c r="B635" s="26" t="n">
        <v>45884</v>
      </c>
      <c r="C635" s="25">
        <f>MONTH(B635)</f>
        <v/>
      </c>
      <c r="D635" s="25" t="inlineStr">
        <is>
          <t>North</t>
        </is>
      </c>
      <c r="E635" s="25" t="inlineStr">
        <is>
          <t>Accessories</t>
        </is>
      </c>
      <c r="F635" s="25" t="inlineStr">
        <is>
          <t>USB-C Hub</t>
        </is>
      </c>
      <c r="G635" s="25" t="n">
        <v>4</v>
      </c>
      <c r="H635" s="27" t="n">
        <v>1800</v>
      </c>
      <c r="I635" s="28" t="n">
        <v>0.05</v>
      </c>
      <c r="J635" s="27" t="n">
        <v>980</v>
      </c>
      <c r="K635" s="27">
        <f>G635*H635*(1-I635)</f>
        <v/>
      </c>
      <c r="L635" s="27">
        <f>K635-G635*J635</f>
        <v/>
      </c>
    </row>
    <row r="636">
      <c r="A636" s="25" t="inlineStr">
        <is>
          <t>ORD-10238</t>
        </is>
      </c>
      <c r="B636" s="26" t="n">
        <v>45884</v>
      </c>
      <c r="C636" s="25">
        <f>MONTH(B636)</f>
        <v/>
      </c>
      <c r="D636" s="25" t="inlineStr">
        <is>
          <t>South</t>
        </is>
      </c>
      <c r="E636" s="25" t="inlineStr">
        <is>
          <t>Accessories</t>
        </is>
      </c>
      <c r="F636" s="25" t="inlineStr">
        <is>
          <t>Headphones</t>
        </is>
      </c>
      <c r="G636" s="25" t="n">
        <v>3</v>
      </c>
      <c r="H636" s="27" t="n">
        <v>4500</v>
      </c>
      <c r="I636" s="28" t="n">
        <v>0.2</v>
      </c>
      <c r="J636" s="27" t="n">
        <v>2600</v>
      </c>
      <c r="K636" s="27">
        <f>G636*H636*(1-I636)</f>
        <v/>
      </c>
      <c r="L636" s="27">
        <f>K636-G636*J636</f>
        <v/>
      </c>
    </row>
    <row r="637">
      <c r="A637" s="25" t="inlineStr">
        <is>
          <t>ORD-10130</t>
        </is>
      </c>
      <c r="B637" s="26" t="n">
        <v>45885</v>
      </c>
      <c r="C637" s="25">
        <f>MONTH(B637)</f>
        <v/>
      </c>
      <c r="D637" s="25" t="inlineStr">
        <is>
          <t>West</t>
        </is>
      </c>
      <c r="E637" s="25" t="inlineStr">
        <is>
          <t>Furniture</t>
        </is>
      </c>
      <c r="F637" s="25" t="inlineStr">
        <is>
          <t>Bookshelf</t>
        </is>
      </c>
      <c r="G637" s="25" t="n">
        <v>2</v>
      </c>
      <c r="H637" s="27" t="n">
        <v>6200</v>
      </c>
      <c r="I637" s="28" t="n">
        <v>0.05</v>
      </c>
      <c r="J637" s="27" t="n">
        <v>4100</v>
      </c>
      <c r="K637" s="27">
        <f>G637*H637*(1-I637)</f>
        <v/>
      </c>
      <c r="L637" s="27">
        <f>K637-G637*J637</f>
        <v/>
      </c>
    </row>
    <row r="638">
      <c r="A638" s="25" t="inlineStr">
        <is>
          <t>ORD-10154</t>
        </is>
      </c>
      <c r="B638" s="26" t="n">
        <v>45885</v>
      </c>
      <c r="C638" s="25">
        <f>MONTH(B638)</f>
        <v/>
      </c>
      <c r="D638" s="25" t="inlineStr">
        <is>
          <t>East</t>
        </is>
      </c>
      <c r="E638" s="25" t="inlineStr">
        <is>
          <t>Technology</t>
        </is>
      </c>
      <c r="F638" s="25" t="inlineStr">
        <is>
          <t>Mechanical Keyboard</t>
        </is>
      </c>
      <c r="G638" s="25" t="n">
        <v>3</v>
      </c>
      <c r="H638" s="27" t="n">
        <v>4200</v>
      </c>
      <c r="I638" s="28" t="n">
        <v>0</v>
      </c>
      <c r="J638" s="27" t="n">
        <v>2500</v>
      </c>
      <c r="K638" s="27">
        <f>G638*H638*(1-I638)</f>
        <v/>
      </c>
      <c r="L638" s="27">
        <f>K638-G638*J638</f>
        <v/>
      </c>
    </row>
    <row r="639">
      <c r="A639" s="25" t="inlineStr">
        <is>
          <t>ORD-10666</t>
        </is>
      </c>
      <c r="B639" s="26" t="n">
        <v>45885</v>
      </c>
      <c r="C639" s="25">
        <f>MONTH(B639)</f>
        <v/>
      </c>
      <c r="D639" s="25" t="inlineStr">
        <is>
          <t>North</t>
        </is>
      </c>
      <c r="E639" s="25" t="inlineStr">
        <is>
          <t>Office Supplies</t>
        </is>
      </c>
      <c r="F639" s="25" t="inlineStr">
        <is>
          <t>Desk Organizer</t>
        </is>
      </c>
      <c r="G639" s="25" t="n">
        <v>2</v>
      </c>
      <c r="H639" s="27" t="n">
        <v>850</v>
      </c>
      <c r="I639" s="28" t="n">
        <v>0</v>
      </c>
      <c r="J639" s="27" t="n">
        <v>420</v>
      </c>
      <c r="K639" s="27">
        <f>G639*H639*(1-I639)</f>
        <v/>
      </c>
      <c r="L639" s="27">
        <f>K639-G639*J639</f>
        <v/>
      </c>
    </row>
    <row r="640">
      <c r="A640" s="25" t="inlineStr">
        <is>
          <t>ORD-10812</t>
        </is>
      </c>
      <c r="B640" s="26" t="n">
        <v>45885</v>
      </c>
      <c r="C640" s="25">
        <f>MONTH(B640)</f>
        <v/>
      </c>
      <c r="D640" s="25" t="inlineStr">
        <is>
          <t>North</t>
        </is>
      </c>
      <c r="E640" s="25" t="inlineStr">
        <is>
          <t>Accessories</t>
        </is>
      </c>
      <c r="F640" s="25" t="inlineStr">
        <is>
          <t>Headphones</t>
        </is>
      </c>
      <c r="G640" s="25" t="n">
        <v>1</v>
      </c>
      <c r="H640" s="27" t="n">
        <v>4500</v>
      </c>
      <c r="I640" s="28" t="n">
        <v>0</v>
      </c>
      <c r="J640" s="27" t="n">
        <v>2600</v>
      </c>
      <c r="K640" s="27">
        <f>G640*H640*(1-I640)</f>
        <v/>
      </c>
      <c r="L640" s="27">
        <f>K640-G640*J640</f>
        <v/>
      </c>
    </row>
    <row r="641">
      <c r="A641" s="25" t="inlineStr">
        <is>
          <t>ORD-10937</t>
        </is>
      </c>
      <c r="B641" s="26" t="n">
        <v>45885</v>
      </c>
      <c r="C641" s="25">
        <f>MONTH(B641)</f>
        <v/>
      </c>
      <c r="D641" s="25" t="inlineStr">
        <is>
          <t>West</t>
        </is>
      </c>
      <c r="E641" s="25" t="inlineStr">
        <is>
          <t>Accessories</t>
        </is>
      </c>
      <c r="F641" s="25" t="inlineStr">
        <is>
          <t>USB-C Hub</t>
        </is>
      </c>
      <c r="G641" s="25" t="n">
        <v>4</v>
      </c>
      <c r="H641" s="27" t="n">
        <v>1800</v>
      </c>
      <c r="I641" s="28" t="n">
        <v>0</v>
      </c>
      <c r="J641" s="27" t="n">
        <v>980</v>
      </c>
      <c r="K641" s="27">
        <f>G641*H641*(1-I641)</f>
        <v/>
      </c>
      <c r="L641" s="27">
        <f>K641-G641*J641</f>
        <v/>
      </c>
    </row>
    <row r="642">
      <c r="A642" s="25" t="inlineStr">
        <is>
          <t>ORD-11157</t>
        </is>
      </c>
      <c r="B642" s="26" t="n">
        <v>45885</v>
      </c>
      <c r="C642" s="25">
        <f>MONTH(B642)</f>
        <v/>
      </c>
      <c r="D642" s="25" t="inlineStr">
        <is>
          <t>East</t>
        </is>
      </c>
      <c r="E642" s="25" t="inlineStr">
        <is>
          <t>Office Supplies</t>
        </is>
      </c>
      <c r="F642" s="25" t="inlineStr">
        <is>
          <t>Desk Organizer</t>
        </is>
      </c>
      <c r="G642" s="25" t="n">
        <v>4</v>
      </c>
      <c r="H642" s="27" t="n">
        <v>850</v>
      </c>
      <c r="I642" s="28" t="n">
        <v>0</v>
      </c>
      <c r="J642" s="27" t="n">
        <v>420</v>
      </c>
      <c r="K642" s="27">
        <f>G642*H642*(1-I642)</f>
        <v/>
      </c>
      <c r="L642" s="27">
        <f>K642-G642*J642</f>
        <v/>
      </c>
    </row>
    <row r="643">
      <c r="A643" s="25" t="inlineStr">
        <is>
          <t>ORD-10413</t>
        </is>
      </c>
      <c r="B643" s="26" t="n">
        <v>45887</v>
      </c>
      <c r="C643" s="25">
        <f>MONTH(B643)</f>
        <v/>
      </c>
      <c r="D643" s="25" t="inlineStr">
        <is>
          <t>North</t>
        </is>
      </c>
      <c r="E643" s="25" t="inlineStr">
        <is>
          <t>Accessories</t>
        </is>
      </c>
      <c r="F643" s="25" t="inlineStr">
        <is>
          <t>Webcam</t>
        </is>
      </c>
      <c r="G643" s="25" t="n">
        <v>3</v>
      </c>
      <c r="H643" s="27" t="n">
        <v>3200</v>
      </c>
      <c r="I643" s="28" t="n">
        <v>0.15</v>
      </c>
      <c r="J643" s="27" t="n">
        <v>1900</v>
      </c>
      <c r="K643" s="27">
        <f>G643*H643*(1-I643)</f>
        <v/>
      </c>
      <c r="L643" s="27">
        <f>K643-G643*J643</f>
        <v/>
      </c>
    </row>
    <row r="644">
      <c r="A644" s="25" t="inlineStr">
        <is>
          <t>ORD-10458</t>
        </is>
      </c>
      <c r="B644" s="26" t="n">
        <v>45887</v>
      </c>
      <c r="C644" s="25">
        <f>MONTH(B644)</f>
        <v/>
      </c>
      <c r="D644" s="25" t="inlineStr">
        <is>
          <t>West</t>
        </is>
      </c>
      <c r="E644" s="25" t="inlineStr">
        <is>
          <t>Office Supplies</t>
        </is>
      </c>
      <c r="F644" s="25" t="inlineStr">
        <is>
          <t>Notebook Set</t>
        </is>
      </c>
      <c r="G644" s="25" t="n">
        <v>5</v>
      </c>
      <c r="H644" s="27" t="n">
        <v>450</v>
      </c>
      <c r="I644" s="28" t="n">
        <v>0.05</v>
      </c>
      <c r="J644" s="27" t="n">
        <v>190</v>
      </c>
      <c r="K644" s="27">
        <f>G644*H644*(1-I644)</f>
        <v/>
      </c>
      <c r="L644" s="27">
        <f>K644-G644*J644</f>
        <v/>
      </c>
    </row>
    <row r="645">
      <c r="A645" s="25" t="inlineStr">
        <is>
          <t>ORD-10161</t>
        </is>
      </c>
      <c r="B645" s="26" t="n">
        <v>45888</v>
      </c>
      <c r="C645" s="25">
        <f>MONTH(B645)</f>
        <v/>
      </c>
      <c r="D645" s="25" t="inlineStr">
        <is>
          <t>South</t>
        </is>
      </c>
      <c r="E645" s="25" t="inlineStr">
        <is>
          <t>Office Supplies</t>
        </is>
      </c>
      <c r="F645" s="25" t="inlineStr">
        <is>
          <t>Desk Organizer</t>
        </is>
      </c>
      <c r="G645" s="25" t="n">
        <v>1</v>
      </c>
      <c r="H645" s="27" t="n">
        <v>850</v>
      </c>
      <c r="I645" s="28" t="n">
        <v>0.1</v>
      </c>
      <c r="J645" s="27" t="n">
        <v>420</v>
      </c>
      <c r="K645" s="27">
        <f>G645*H645*(1-I645)</f>
        <v/>
      </c>
      <c r="L645" s="27">
        <f>K645-G645*J645</f>
        <v/>
      </c>
    </row>
    <row r="646">
      <c r="A646" s="25" t="inlineStr">
        <is>
          <t>ORD-10708</t>
        </is>
      </c>
      <c r="B646" s="26" t="n">
        <v>45888</v>
      </c>
      <c r="C646" s="25">
        <f>MONTH(B646)</f>
        <v/>
      </c>
      <c r="D646" s="25" t="inlineStr">
        <is>
          <t>South</t>
        </is>
      </c>
      <c r="E646" s="25" t="inlineStr">
        <is>
          <t>Accessories</t>
        </is>
      </c>
      <c r="F646" s="25" t="inlineStr">
        <is>
          <t>Headphones</t>
        </is>
      </c>
      <c r="G646" s="25" t="n">
        <v>1</v>
      </c>
      <c r="H646" s="27" t="n">
        <v>4500</v>
      </c>
      <c r="I646" s="28" t="n">
        <v>0.1</v>
      </c>
      <c r="J646" s="27" t="n">
        <v>2600</v>
      </c>
      <c r="K646" s="27">
        <f>G646*H646*(1-I646)</f>
        <v/>
      </c>
      <c r="L646" s="27">
        <f>K646-G646*J646</f>
        <v/>
      </c>
    </row>
    <row r="647">
      <c r="A647" s="25" t="inlineStr">
        <is>
          <t>ORD-10821</t>
        </is>
      </c>
      <c r="B647" s="26" t="n">
        <v>45888</v>
      </c>
      <c r="C647" s="25">
        <f>MONTH(B647)</f>
        <v/>
      </c>
      <c r="D647" s="25" t="inlineStr">
        <is>
          <t>East</t>
        </is>
      </c>
      <c r="E647" s="25" t="inlineStr">
        <is>
          <t>Accessories</t>
        </is>
      </c>
      <c r="F647" s="25" t="inlineStr">
        <is>
          <t>USB-C Hub</t>
        </is>
      </c>
      <c r="G647" s="25" t="n">
        <v>1</v>
      </c>
      <c r="H647" s="27" t="n">
        <v>1800</v>
      </c>
      <c r="I647" s="28" t="n">
        <v>0.15</v>
      </c>
      <c r="J647" s="27" t="n">
        <v>980</v>
      </c>
      <c r="K647" s="27">
        <f>G647*H647*(1-I647)</f>
        <v/>
      </c>
      <c r="L647" s="27">
        <f>K647-G647*J647</f>
        <v/>
      </c>
    </row>
    <row r="648">
      <c r="A648" s="25" t="inlineStr">
        <is>
          <t>ORD-10317</t>
        </is>
      </c>
      <c r="B648" s="26" t="n">
        <v>45889</v>
      </c>
      <c r="C648" s="25">
        <f>MONTH(B648)</f>
        <v/>
      </c>
      <c r="D648" s="25" t="inlineStr">
        <is>
          <t>South</t>
        </is>
      </c>
      <c r="E648" s="25" t="inlineStr">
        <is>
          <t>Office Supplies</t>
        </is>
      </c>
      <c r="F648" s="25" t="inlineStr">
        <is>
          <t>Notebook Set</t>
        </is>
      </c>
      <c r="G648" s="25" t="n">
        <v>5</v>
      </c>
      <c r="H648" s="27" t="n">
        <v>450</v>
      </c>
      <c r="I648" s="28" t="n">
        <v>0.2</v>
      </c>
      <c r="J648" s="27" t="n">
        <v>190</v>
      </c>
      <c r="K648" s="27">
        <f>G648*H648*(1-I648)</f>
        <v/>
      </c>
      <c r="L648" s="27">
        <f>K648-G648*J648</f>
        <v/>
      </c>
    </row>
    <row r="649">
      <c r="A649" s="25" t="inlineStr">
        <is>
          <t>ORD-10864</t>
        </is>
      </c>
      <c r="B649" s="26" t="n">
        <v>45889</v>
      </c>
      <c r="C649" s="25">
        <f>MONTH(B649)</f>
        <v/>
      </c>
      <c r="D649" s="25" t="inlineStr">
        <is>
          <t>South</t>
        </is>
      </c>
      <c r="E649" s="25" t="inlineStr">
        <is>
          <t>Accessories</t>
        </is>
      </c>
      <c r="F649" s="25" t="inlineStr">
        <is>
          <t>Headphones</t>
        </is>
      </c>
      <c r="G649" s="25" t="n">
        <v>1</v>
      </c>
      <c r="H649" s="27" t="n">
        <v>4500</v>
      </c>
      <c r="I649" s="28" t="n">
        <v>0</v>
      </c>
      <c r="J649" s="27" t="n">
        <v>2600</v>
      </c>
      <c r="K649" s="27">
        <f>G649*H649*(1-I649)</f>
        <v/>
      </c>
      <c r="L649" s="27">
        <f>K649-G649*J649</f>
        <v/>
      </c>
    </row>
    <row r="650">
      <c r="A650" s="25" t="inlineStr">
        <is>
          <t>ORD-11152</t>
        </is>
      </c>
      <c r="B650" s="26" t="n">
        <v>45889</v>
      </c>
      <c r="C650" s="25">
        <f>MONTH(B650)</f>
        <v/>
      </c>
      <c r="D650" s="25" t="inlineStr">
        <is>
          <t>South</t>
        </is>
      </c>
      <c r="E650" s="25" t="inlineStr">
        <is>
          <t>Technology</t>
        </is>
      </c>
      <c r="F650" s="25" t="inlineStr">
        <is>
          <t>Mechanical Keyboard</t>
        </is>
      </c>
      <c r="G650" s="25" t="n">
        <v>1</v>
      </c>
      <c r="H650" s="27" t="n">
        <v>4200</v>
      </c>
      <c r="I650" s="28" t="n">
        <v>0</v>
      </c>
      <c r="J650" s="27" t="n">
        <v>2500</v>
      </c>
      <c r="K650" s="27">
        <f>G650*H650*(1-I650)</f>
        <v/>
      </c>
      <c r="L650" s="27">
        <f>K650-G650*J650</f>
        <v/>
      </c>
    </row>
    <row r="651">
      <c r="A651" s="25" t="inlineStr">
        <is>
          <t>ORD-10152</t>
        </is>
      </c>
      <c r="B651" s="26" t="n">
        <v>45890</v>
      </c>
      <c r="C651" s="25">
        <f>MONTH(B651)</f>
        <v/>
      </c>
      <c r="D651" s="25" t="inlineStr">
        <is>
          <t>West</t>
        </is>
      </c>
      <c r="E651" s="25" t="inlineStr">
        <is>
          <t>Office Supplies</t>
        </is>
      </c>
      <c r="F651" s="25" t="inlineStr">
        <is>
          <t>Printer Paper Box</t>
        </is>
      </c>
      <c r="G651" s="25" t="n">
        <v>1</v>
      </c>
      <c r="H651" s="27" t="n">
        <v>1600</v>
      </c>
      <c r="I651" s="28" t="n">
        <v>0</v>
      </c>
      <c r="J651" s="27" t="n">
        <v>1050</v>
      </c>
      <c r="K651" s="27">
        <f>G651*H651*(1-I651)</f>
        <v/>
      </c>
      <c r="L651" s="27">
        <f>K651-G651*J651</f>
        <v/>
      </c>
    </row>
    <row r="652">
      <c r="A652" s="25" t="inlineStr">
        <is>
          <t>ORD-10176</t>
        </is>
      </c>
      <c r="B652" s="26" t="n">
        <v>45890</v>
      </c>
      <c r="C652" s="25">
        <f>MONTH(B652)</f>
        <v/>
      </c>
      <c r="D652" s="25" t="inlineStr">
        <is>
          <t>South</t>
        </is>
      </c>
      <c r="E652" s="25" t="inlineStr">
        <is>
          <t>Accessories</t>
        </is>
      </c>
      <c r="F652" s="25" t="inlineStr">
        <is>
          <t>Webcam</t>
        </is>
      </c>
      <c r="G652" s="25" t="n">
        <v>3</v>
      </c>
      <c r="H652" s="27" t="n">
        <v>3200</v>
      </c>
      <c r="I652" s="28" t="n">
        <v>0.2</v>
      </c>
      <c r="J652" s="27" t="n">
        <v>1900</v>
      </c>
      <c r="K652" s="27">
        <f>G652*H652*(1-I652)</f>
        <v/>
      </c>
      <c r="L652" s="27">
        <f>K652-G652*J652</f>
        <v/>
      </c>
    </row>
    <row r="653">
      <c r="A653" s="25" t="inlineStr">
        <is>
          <t>ORD-10319</t>
        </is>
      </c>
      <c r="B653" s="26" t="n">
        <v>45890</v>
      </c>
      <c r="C653" s="25">
        <f>MONTH(B653)</f>
        <v/>
      </c>
      <c r="D653" s="25" t="inlineStr">
        <is>
          <t>South</t>
        </is>
      </c>
      <c r="E653" s="25" t="inlineStr">
        <is>
          <t>Technology</t>
        </is>
      </c>
      <c r="F653" s="25" t="inlineStr">
        <is>
          <t>Wireless Mouse</t>
        </is>
      </c>
      <c r="G653" s="25" t="n">
        <v>5</v>
      </c>
      <c r="H653" s="27" t="n">
        <v>1200</v>
      </c>
      <c r="I653" s="28" t="n">
        <v>0</v>
      </c>
      <c r="J653" s="27" t="n">
        <v>650</v>
      </c>
      <c r="K653" s="27">
        <f>G653*H653*(1-I653)</f>
        <v/>
      </c>
      <c r="L653" s="27">
        <f>K653-G653*J653</f>
        <v/>
      </c>
    </row>
    <row r="654">
      <c r="A654" s="25" t="inlineStr">
        <is>
          <t>ORD-11025</t>
        </is>
      </c>
      <c r="B654" s="26" t="n">
        <v>45891</v>
      </c>
      <c r="C654" s="25">
        <f>MONTH(B654)</f>
        <v/>
      </c>
      <c r="D654" s="25" t="inlineStr">
        <is>
          <t>West</t>
        </is>
      </c>
      <c r="E654" s="25" t="inlineStr">
        <is>
          <t>Furniture</t>
        </is>
      </c>
      <c r="F654" s="25" t="inlineStr">
        <is>
          <t>Standing Desk</t>
        </is>
      </c>
      <c r="G654" s="25" t="n">
        <v>2</v>
      </c>
      <c r="H654" s="27" t="n">
        <v>19500</v>
      </c>
      <c r="I654" s="28" t="n">
        <v>0</v>
      </c>
      <c r="J654" s="27" t="n">
        <v>13800</v>
      </c>
      <c r="K654" s="27">
        <f>G654*H654*(1-I654)</f>
        <v/>
      </c>
      <c r="L654" s="27">
        <f>K654-G654*J654</f>
        <v/>
      </c>
    </row>
    <row r="655">
      <c r="A655" s="25" t="inlineStr">
        <is>
          <t>ORD-11075</t>
        </is>
      </c>
      <c r="B655" s="26" t="n">
        <v>45891</v>
      </c>
      <c r="C655" s="25">
        <f>MONTH(B655)</f>
        <v/>
      </c>
      <c r="D655" s="25" t="inlineStr">
        <is>
          <t>West</t>
        </is>
      </c>
      <c r="E655" s="25" t="inlineStr">
        <is>
          <t>Accessories</t>
        </is>
      </c>
      <c r="F655" s="25" t="inlineStr">
        <is>
          <t>USB-C Hub</t>
        </is>
      </c>
      <c r="G655" s="25" t="n">
        <v>1</v>
      </c>
      <c r="H655" s="27" t="n">
        <v>1800</v>
      </c>
      <c r="I655" s="28" t="n">
        <v>0</v>
      </c>
      <c r="J655" s="27" t="n">
        <v>980</v>
      </c>
      <c r="K655" s="27">
        <f>G655*H655*(1-I655)</f>
        <v/>
      </c>
      <c r="L655" s="27">
        <f>K655-G655*J655</f>
        <v/>
      </c>
    </row>
    <row r="656">
      <c r="A656" s="25" t="inlineStr">
        <is>
          <t>ORD-11043</t>
        </is>
      </c>
      <c r="B656" s="26" t="n">
        <v>45892</v>
      </c>
      <c r="C656" s="25">
        <f>MONTH(B656)</f>
        <v/>
      </c>
      <c r="D656" s="25" t="inlineStr">
        <is>
          <t>South</t>
        </is>
      </c>
      <c r="E656" s="25" t="inlineStr">
        <is>
          <t>Office Supplies</t>
        </is>
      </c>
      <c r="F656" s="25" t="inlineStr">
        <is>
          <t>Notebook Set</t>
        </is>
      </c>
      <c r="G656" s="25" t="n">
        <v>7</v>
      </c>
      <c r="H656" s="27" t="n">
        <v>450</v>
      </c>
      <c r="I656" s="28" t="n">
        <v>0</v>
      </c>
      <c r="J656" s="27" t="n">
        <v>190</v>
      </c>
      <c r="K656" s="27">
        <f>G656*H656*(1-I656)</f>
        <v/>
      </c>
      <c r="L656" s="27">
        <f>K656-G656*J656</f>
        <v/>
      </c>
    </row>
    <row r="657">
      <c r="A657" s="25" t="inlineStr">
        <is>
          <t>ORD-10292</t>
        </is>
      </c>
      <c r="B657" s="26" t="n">
        <v>45893</v>
      </c>
      <c r="C657" s="25">
        <f>MONTH(B657)</f>
        <v/>
      </c>
      <c r="D657" s="25" t="inlineStr">
        <is>
          <t>East</t>
        </is>
      </c>
      <c r="E657" s="25" t="inlineStr">
        <is>
          <t>Technology</t>
        </is>
      </c>
      <c r="F657" s="25" t="inlineStr">
        <is>
          <t>Mechanical Keyboard</t>
        </is>
      </c>
      <c r="G657" s="25" t="n">
        <v>1</v>
      </c>
      <c r="H657" s="27" t="n">
        <v>4200</v>
      </c>
      <c r="I657" s="28" t="n">
        <v>0.15</v>
      </c>
      <c r="J657" s="27" t="n">
        <v>2500</v>
      </c>
      <c r="K657" s="27">
        <f>G657*H657*(1-I657)</f>
        <v/>
      </c>
      <c r="L657" s="27">
        <f>K657-G657*J657</f>
        <v/>
      </c>
    </row>
    <row r="658">
      <c r="A658" s="25" t="inlineStr">
        <is>
          <t>ORD-10351</t>
        </is>
      </c>
      <c r="B658" s="26" t="n">
        <v>45893</v>
      </c>
      <c r="C658" s="25">
        <f>MONTH(B658)</f>
        <v/>
      </c>
      <c r="D658" s="25" t="inlineStr">
        <is>
          <t>North</t>
        </is>
      </c>
      <c r="E658" s="25" t="inlineStr">
        <is>
          <t>Furniture</t>
        </is>
      </c>
      <c r="F658" s="25" t="inlineStr">
        <is>
          <t>Office Chair</t>
        </is>
      </c>
      <c r="G658" s="25" t="n">
        <v>1</v>
      </c>
      <c r="H658" s="27" t="n">
        <v>8500</v>
      </c>
      <c r="I658" s="28" t="n">
        <v>0.15</v>
      </c>
      <c r="J658" s="27" t="n">
        <v>5600</v>
      </c>
      <c r="K658" s="27">
        <f>G658*H658*(1-I658)</f>
        <v/>
      </c>
      <c r="L658" s="27">
        <f>K658-G658*J658</f>
        <v/>
      </c>
    </row>
    <row r="659">
      <c r="A659" s="25" t="inlineStr">
        <is>
          <t>ORD-10647</t>
        </is>
      </c>
      <c r="B659" s="26" t="n">
        <v>45893</v>
      </c>
      <c r="C659" s="25">
        <f>MONTH(B659)</f>
        <v/>
      </c>
      <c r="D659" s="25" t="inlineStr">
        <is>
          <t>South</t>
        </is>
      </c>
      <c r="E659" s="25" t="inlineStr">
        <is>
          <t>Office Supplies</t>
        </is>
      </c>
      <c r="F659" s="25" t="inlineStr">
        <is>
          <t>Desk Organizer</t>
        </is>
      </c>
      <c r="G659" s="25" t="n">
        <v>2</v>
      </c>
      <c r="H659" s="27" t="n">
        <v>850</v>
      </c>
      <c r="I659" s="28" t="n">
        <v>0</v>
      </c>
      <c r="J659" s="27" t="n">
        <v>420</v>
      </c>
      <c r="K659" s="27">
        <f>G659*H659*(1-I659)</f>
        <v/>
      </c>
      <c r="L659" s="27">
        <f>K659-G659*J659</f>
        <v/>
      </c>
    </row>
    <row r="660">
      <c r="A660" s="25" t="inlineStr">
        <is>
          <t>ORD-10432</t>
        </is>
      </c>
      <c r="B660" s="26" t="n">
        <v>45894</v>
      </c>
      <c r="C660" s="25">
        <f>MONTH(B660)</f>
        <v/>
      </c>
      <c r="D660" s="25" t="inlineStr">
        <is>
          <t>South</t>
        </is>
      </c>
      <c r="E660" s="25" t="inlineStr">
        <is>
          <t>Office Supplies</t>
        </is>
      </c>
      <c r="F660" s="25" t="inlineStr">
        <is>
          <t>Notebook Set</t>
        </is>
      </c>
      <c r="G660" s="25" t="n">
        <v>1</v>
      </c>
      <c r="H660" s="27" t="n">
        <v>450</v>
      </c>
      <c r="I660" s="28" t="n">
        <v>0.1</v>
      </c>
      <c r="J660" s="27" t="n">
        <v>190</v>
      </c>
      <c r="K660" s="27">
        <f>G660*H660*(1-I660)</f>
        <v/>
      </c>
      <c r="L660" s="27">
        <f>K660-G660*J660</f>
        <v/>
      </c>
    </row>
    <row r="661">
      <c r="A661" s="25" t="inlineStr">
        <is>
          <t>ORD-10726</t>
        </is>
      </c>
      <c r="B661" s="26" t="n">
        <v>45894</v>
      </c>
      <c r="C661" s="25">
        <f>MONTH(B661)</f>
        <v/>
      </c>
      <c r="D661" s="25" t="inlineStr">
        <is>
          <t>South</t>
        </is>
      </c>
      <c r="E661" s="25" t="inlineStr">
        <is>
          <t>Office Supplies</t>
        </is>
      </c>
      <c r="F661" s="25" t="inlineStr">
        <is>
          <t>Printer Paper Box</t>
        </is>
      </c>
      <c r="G661" s="25" t="n">
        <v>1</v>
      </c>
      <c r="H661" s="27" t="n">
        <v>1600</v>
      </c>
      <c r="I661" s="28" t="n">
        <v>0.2</v>
      </c>
      <c r="J661" s="27" t="n">
        <v>1050</v>
      </c>
      <c r="K661" s="27">
        <f>G661*H661*(1-I661)</f>
        <v/>
      </c>
      <c r="L661" s="27">
        <f>K661-G661*J661</f>
        <v/>
      </c>
    </row>
    <row r="662">
      <c r="A662" s="25" t="inlineStr">
        <is>
          <t>ORD-10751</t>
        </is>
      </c>
      <c r="B662" s="26" t="n">
        <v>45895</v>
      </c>
      <c r="C662" s="25">
        <f>MONTH(B662)</f>
        <v/>
      </c>
      <c r="D662" s="25" t="inlineStr">
        <is>
          <t>North</t>
        </is>
      </c>
      <c r="E662" s="25" t="inlineStr">
        <is>
          <t>Office Supplies</t>
        </is>
      </c>
      <c r="F662" s="25" t="inlineStr">
        <is>
          <t>Notebook Set</t>
        </is>
      </c>
      <c r="G662" s="25" t="n">
        <v>8</v>
      </c>
      <c r="H662" s="27" t="n">
        <v>450</v>
      </c>
      <c r="I662" s="28" t="n">
        <v>0</v>
      </c>
      <c r="J662" s="27" t="n">
        <v>190</v>
      </c>
      <c r="K662" s="27">
        <f>G662*H662*(1-I662)</f>
        <v/>
      </c>
      <c r="L662" s="27">
        <f>K662-G662*J662</f>
        <v/>
      </c>
    </row>
    <row r="663">
      <c r="A663" s="25" t="inlineStr">
        <is>
          <t>ORD-10829</t>
        </is>
      </c>
      <c r="B663" s="26" t="n">
        <v>45895</v>
      </c>
      <c r="C663" s="25">
        <f>MONTH(B663)</f>
        <v/>
      </c>
      <c r="D663" s="25" t="inlineStr">
        <is>
          <t>West</t>
        </is>
      </c>
      <c r="E663" s="25" t="inlineStr">
        <is>
          <t>Technology</t>
        </is>
      </c>
      <c r="F663" s="25" t="inlineStr">
        <is>
          <t>Mechanical Keyboard</t>
        </is>
      </c>
      <c r="G663" s="25" t="n">
        <v>3</v>
      </c>
      <c r="H663" s="27" t="n">
        <v>4200</v>
      </c>
      <c r="I663" s="28" t="n">
        <v>0.05</v>
      </c>
      <c r="J663" s="27" t="n">
        <v>2500</v>
      </c>
      <c r="K663" s="27">
        <f>G663*H663*(1-I663)</f>
        <v/>
      </c>
      <c r="L663" s="27">
        <f>K663-G663*J663</f>
        <v/>
      </c>
    </row>
    <row r="664">
      <c r="A664" s="25" t="inlineStr">
        <is>
          <t>ORD-10485</t>
        </is>
      </c>
      <c r="B664" s="26" t="n">
        <v>45897</v>
      </c>
      <c r="C664" s="25">
        <f>MONTH(B664)</f>
        <v/>
      </c>
      <c r="D664" s="25" t="inlineStr">
        <is>
          <t>North</t>
        </is>
      </c>
      <c r="E664" s="25" t="inlineStr">
        <is>
          <t>Office Supplies</t>
        </is>
      </c>
      <c r="F664" s="25" t="inlineStr">
        <is>
          <t>Notebook Set</t>
        </is>
      </c>
      <c r="G664" s="25" t="n">
        <v>6</v>
      </c>
      <c r="H664" s="27" t="n">
        <v>450</v>
      </c>
      <c r="I664" s="28" t="n">
        <v>0.15</v>
      </c>
      <c r="J664" s="27" t="n">
        <v>190</v>
      </c>
      <c r="K664" s="27">
        <f>G664*H664*(1-I664)</f>
        <v/>
      </c>
      <c r="L664" s="27">
        <f>K664-G664*J664</f>
        <v/>
      </c>
    </row>
    <row r="665">
      <c r="A665" s="25" t="inlineStr">
        <is>
          <t>ORD-10867</t>
        </is>
      </c>
      <c r="B665" s="26" t="n">
        <v>45897</v>
      </c>
      <c r="C665" s="25">
        <f>MONTH(B665)</f>
        <v/>
      </c>
      <c r="D665" s="25" t="inlineStr">
        <is>
          <t>South</t>
        </is>
      </c>
      <c r="E665" s="25" t="inlineStr">
        <is>
          <t>Office Supplies</t>
        </is>
      </c>
      <c r="F665" s="25" t="inlineStr">
        <is>
          <t>Notebook Set</t>
        </is>
      </c>
      <c r="G665" s="25" t="n">
        <v>6</v>
      </c>
      <c r="H665" s="27" t="n">
        <v>450</v>
      </c>
      <c r="I665" s="28" t="n">
        <v>0</v>
      </c>
      <c r="J665" s="27" t="n">
        <v>190</v>
      </c>
      <c r="K665" s="27">
        <f>G665*H665*(1-I665)</f>
        <v/>
      </c>
      <c r="L665" s="27">
        <f>K665-G665*J665</f>
        <v/>
      </c>
    </row>
    <row r="666">
      <c r="A666" s="25" t="inlineStr">
        <is>
          <t>ORD-11022</t>
        </is>
      </c>
      <c r="B666" s="26" t="n">
        <v>45897</v>
      </c>
      <c r="C666" s="25">
        <f>MONTH(B666)</f>
        <v/>
      </c>
      <c r="D666" s="25" t="inlineStr">
        <is>
          <t>West</t>
        </is>
      </c>
      <c r="E666" s="25" t="inlineStr">
        <is>
          <t>Furniture</t>
        </is>
      </c>
      <c r="F666" s="25" t="inlineStr">
        <is>
          <t>Bookshelf</t>
        </is>
      </c>
      <c r="G666" s="25" t="n">
        <v>3</v>
      </c>
      <c r="H666" s="27" t="n">
        <v>6200</v>
      </c>
      <c r="I666" s="28" t="n">
        <v>0</v>
      </c>
      <c r="J666" s="27" t="n">
        <v>4100</v>
      </c>
      <c r="K666" s="27">
        <f>G666*H666*(1-I666)</f>
        <v/>
      </c>
      <c r="L666" s="27">
        <f>K666-G666*J666</f>
        <v/>
      </c>
    </row>
    <row r="667">
      <c r="A667" s="25" t="inlineStr">
        <is>
          <t>ORD-10177</t>
        </is>
      </c>
      <c r="B667" s="26" t="n">
        <v>45901</v>
      </c>
      <c r="C667" s="25">
        <f>MONTH(B667)</f>
        <v/>
      </c>
      <c r="D667" s="25" t="inlineStr">
        <is>
          <t>North</t>
        </is>
      </c>
      <c r="E667" s="25" t="inlineStr">
        <is>
          <t>Technology</t>
        </is>
      </c>
      <c r="F667" s="25" t="inlineStr">
        <is>
          <t>Wireless Mouse</t>
        </is>
      </c>
      <c r="G667" s="25" t="n">
        <v>1</v>
      </c>
      <c r="H667" s="27" t="n">
        <v>1200</v>
      </c>
      <c r="I667" s="28" t="n">
        <v>0.05</v>
      </c>
      <c r="J667" s="27" t="n">
        <v>650</v>
      </c>
      <c r="K667" s="27">
        <f>G667*H667*(1-I667)</f>
        <v/>
      </c>
      <c r="L667" s="27">
        <f>K667-G667*J667</f>
        <v/>
      </c>
    </row>
    <row r="668">
      <c r="A668" s="25" t="inlineStr">
        <is>
          <t>ORD-11049</t>
        </is>
      </c>
      <c r="B668" s="26" t="n">
        <v>45901</v>
      </c>
      <c r="C668" s="25">
        <f>MONTH(B668)</f>
        <v/>
      </c>
      <c r="D668" s="25" t="inlineStr">
        <is>
          <t>East</t>
        </is>
      </c>
      <c r="E668" s="25" t="inlineStr">
        <is>
          <t>Office Supplies</t>
        </is>
      </c>
      <c r="F668" s="25" t="inlineStr">
        <is>
          <t>Printer Paper Box</t>
        </is>
      </c>
      <c r="G668" s="25" t="n">
        <v>5</v>
      </c>
      <c r="H668" s="27" t="n">
        <v>1600</v>
      </c>
      <c r="I668" s="28" t="n">
        <v>0</v>
      </c>
      <c r="J668" s="27" t="n">
        <v>1050</v>
      </c>
      <c r="K668" s="27">
        <f>G668*H668*(1-I668)</f>
        <v/>
      </c>
      <c r="L668" s="27">
        <f>K668-G668*J668</f>
        <v/>
      </c>
    </row>
    <row r="669">
      <c r="A669" s="25" t="inlineStr">
        <is>
          <t>ORD-11140</t>
        </is>
      </c>
      <c r="B669" s="26" t="n">
        <v>45901</v>
      </c>
      <c r="C669" s="25">
        <f>MONTH(B669)</f>
        <v/>
      </c>
      <c r="D669" s="25" t="inlineStr">
        <is>
          <t>West</t>
        </is>
      </c>
      <c r="E669" s="25" t="inlineStr">
        <is>
          <t>Furniture</t>
        </is>
      </c>
      <c r="F669" s="25" t="inlineStr">
        <is>
          <t>Standing Desk</t>
        </is>
      </c>
      <c r="G669" s="25" t="n">
        <v>1</v>
      </c>
      <c r="H669" s="27" t="n">
        <v>19500</v>
      </c>
      <c r="I669" s="28" t="n">
        <v>0</v>
      </c>
      <c r="J669" s="27" t="n">
        <v>13800</v>
      </c>
      <c r="K669" s="27">
        <f>G669*H669*(1-I669)</f>
        <v/>
      </c>
      <c r="L669" s="27">
        <f>K669-G669*J669</f>
        <v/>
      </c>
    </row>
    <row r="670">
      <c r="A670" s="25" t="inlineStr">
        <is>
          <t>ORD-10028</t>
        </is>
      </c>
      <c r="B670" s="26" t="n">
        <v>45902</v>
      </c>
      <c r="C670" s="25">
        <f>MONTH(B670)</f>
        <v/>
      </c>
      <c r="D670" s="25" t="inlineStr">
        <is>
          <t>East</t>
        </is>
      </c>
      <c r="E670" s="25" t="inlineStr">
        <is>
          <t>Accessories</t>
        </is>
      </c>
      <c r="F670" s="25" t="inlineStr">
        <is>
          <t>Webcam</t>
        </is>
      </c>
      <c r="G670" s="25" t="n">
        <v>1</v>
      </c>
      <c r="H670" s="27" t="n">
        <v>3200</v>
      </c>
      <c r="I670" s="28" t="n">
        <v>0</v>
      </c>
      <c r="J670" s="27" t="n">
        <v>1900</v>
      </c>
      <c r="K670" s="27">
        <f>G670*H670*(1-I670)</f>
        <v/>
      </c>
      <c r="L670" s="27">
        <f>K670-G670*J670</f>
        <v/>
      </c>
    </row>
    <row r="671">
      <c r="A671" s="25" t="inlineStr">
        <is>
          <t>ORD-10394</t>
        </is>
      </c>
      <c r="B671" s="26" t="n">
        <v>45902</v>
      </c>
      <c r="C671" s="25">
        <f>MONTH(B671)</f>
        <v/>
      </c>
      <c r="D671" s="25" t="inlineStr">
        <is>
          <t>East</t>
        </is>
      </c>
      <c r="E671" s="25" t="inlineStr">
        <is>
          <t>Office Supplies</t>
        </is>
      </c>
      <c r="F671" s="25" t="inlineStr">
        <is>
          <t>Notebook Set</t>
        </is>
      </c>
      <c r="G671" s="25" t="n">
        <v>7</v>
      </c>
      <c r="H671" s="27" t="n">
        <v>450</v>
      </c>
      <c r="I671" s="28" t="n">
        <v>0.1</v>
      </c>
      <c r="J671" s="27" t="n">
        <v>190</v>
      </c>
      <c r="K671" s="27">
        <f>G671*H671*(1-I671)</f>
        <v/>
      </c>
      <c r="L671" s="27">
        <f>K671-G671*J671</f>
        <v/>
      </c>
    </row>
    <row r="672">
      <c r="A672" s="25" t="inlineStr">
        <is>
          <t>ORD-10983</t>
        </is>
      </c>
      <c r="B672" s="26" t="n">
        <v>45902</v>
      </c>
      <c r="C672" s="25">
        <f>MONTH(B672)</f>
        <v/>
      </c>
      <c r="D672" s="25" t="inlineStr">
        <is>
          <t>South</t>
        </is>
      </c>
      <c r="E672" s="25" t="inlineStr">
        <is>
          <t>Office Supplies</t>
        </is>
      </c>
      <c r="F672" s="25" t="inlineStr">
        <is>
          <t>Printer Paper Box</t>
        </is>
      </c>
      <c r="G672" s="25" t="n">
        <v>3</v>
      </c>
      <c r="H672" s="27" t="n">
        <v>1600</v>
      </c>
      <c r="I672" s="28" t="n">
        <v>0.05</v>
      </c>
      <c r="J672" s="27" t="n">
        <v>1050</v>
      </c>
      <c r="K672" s="27">
        <f>G672*H672*(1-I672)</f>
        <v/>
      </c>
      <c r="L672" s="27">
        <f>K672-G672*J672</f>
        <v/>
      </c>
    </row>
    <row r="673">
      <c r="A673" s="25" t="inlineStr">
        <is>
          <t>ORD-11030</t>
        </is>
      </c>
      <c r="B673" s="26" t="n">
        <v>45902</v>
      </c>
      <c r="C673" s="25">
        <f>MONTH(B673)</f>
        <v/>
      </c>
      <c r="D673" s="25" t="inlineStr">
        <is>
          <t>East</t>
        </is>
      </c>
      <c r="E673" s="25" t="inlineStr">
        <is>
          <t>Office Supplies</t>
        </is>
      </c>
      <c r="F673" s="25" t="inlineStr">
        <is>
          <t>Printer Paper Box</t>
        </is>
      </c>
      <c r="G673" s="25" t="n">
        <v>5</v>
      </c>
      <c r="H673" s="27" t="n">
        <v>1600</v>
      </c>
      <c r="I673" s="28" t="n">
        <v>0</v>
      </c>
      <c r="J673" s="27" t="n">
        <v>1050</v>
      </c>
      <c r="K673" s="27">
        <f>G673*H673*(1-I673)</f>
        <v/>
      </c>
      <c r="L673" s="27">
        <f>K673-G673*J673</f>
        <v/>
      </c>
    </row>
    <row r="674">
      <c r="A674" s="25" t="inlineStr">
        <is>
          <t>ORD-11175</t>
        </is>
      </c>
      <c r="B674" s="26" t="n">
        <v>45902</v>
      </c>
      <c r="C674" s="25">
        <f>MONTH(B674)</f>
        <v/>
      </c>
      <c r="D674" s="25" t="inlineStr">
        <is>
          <t>West</t>
        </is>
      </c>
      <c r="E674" s="25" t="inlineStr">
        <is>
          <t>Furniture</t>
        </is>
      </c>
      <c r="F674" s="25" t="inlineStr">
        <is>
          <t>Office Chair</t>
        </is>
      </c>
      <c r="G674" s="25" t="n">
        <v>2</v>
      </c>
      <c r="H674" s="27" t="n">
        <v>8500</v>
      </c>
      <c r="I674" s="28" t="n">
        <v>0</v>
      </c>
      <c r="J674" s="27" t="n">
        <v>5600</v>
      </c>
      <c r="K674" s="27">
        <f>G674*H674*(1-I674)</f>
        <v/>
      </c>
      <c r="L674" s="27">
        <f>K674-G674*J674</f>
        <v/>
      </c>
    </row>
    <row r="675">
      <c r="A675" s="25" t="inlineStr">
        <is>
          <t>ORD-10058</t>
        </is>
      </c>
      <c r="B675" s="26" t="n">
        <v>45903</v>
      </c>
      <c r="C675" s="25">
        <f>MONTH(B675)</f>
        <v/>
      </c>
      <c r="D675" s="25" t="inlineStr">
        <is>
          <t>North</t>
        </is>
      </c>
      <c r="E675" s="25" t="inlineStr">
        <is>
          <t>Accessories</t>
        </is>
      </c>
      <c r="F675" s="25" t="inlineStr">
        <is>
          <t>Webcam</t>
        </is>
      </c>
      <c r="G675" s="25" t="n">
        <v>2</v>
      </c>
      <c r="H675" s="27" t="n">
        <v>3200</v>
      </c>
      <c r="I675" s="28" t="n">
        <v>0</v>
      </c>
      <c r="J675" s="27" t="n">
        <v>1900</v>
      </c>
      <c r="K675" s="27">
        <f>G675*H675*(1-I675)</f>
        <v/>
      </c>
      <c r="L675" s="27">
        <f>K675-G675*J675</f>
        <v/>
      </c>
    </row>
    <row r="676">
      <c r="A676" s="25" t="inlineStr">
        <is>
          <t>ORD-10587</t>
        </is>
      </c>
      <c r="B676" s="26" t="n">
        <v>45903</v>
      </c>
      <c r="C676" s="25">
        <f>MONTH(B676)</f>
        <v/>
      </c>
      <c r="D676" s="25" t="inlineStr">
        <is>
          <t>South</t>
        </is>
      </c>
      <c r="E676" s="25" t="inlineStr">
        <is>
          <t>Technology</t>
        </is>
      </c>
      <c r="F676" s="25" t="inlineStr">
        <is>
          <t>Mechanical Keyboard</t>
        </is>
      </c>
      <c r="G676" s="25" t="n">
        <v>1</v>
      </c>
      <c r="H676" s="27" t="n">
        <v>4200</v>
      </c>
      <c r="I676" s="28" t="n">
        <v>0</v>
      </c>
      <c r="J676" s="27" t="n">
        <v>2500</v>
      </c>
      <c r="K676" s="27">
        <f>G676*H676*(1-I676)</f>
        <v/>
      </c>
      <c r="L676" s="27">
        <f>K676-G676*J676</f>
        <v/>
      </c>
    </row>
    <row r="677">
      <c r="A677" s="25" t="inlineStr">
        <is>
          <t>ORD-10759</t>
        </is>
      </c>
      <c r="B677" s="26" t="n">
        <v>45903</v>
      </c>
      <c r="C677" s="25">
        <f>MONTH(B677)</f>
        <v/>
      </c>
      <c r="D677" s="25" t="inlineStr">
        <is>
          <t>South</t>
        </is>
      </c>
      <c r="E677" s="25" t="inlineStr">
        <is>
          <t>Accessories</t>
        </is>
      </c>
      <c r="F677" s="25" t="inlineStr">
        <is>
          <t>Webcam</t>
        </is>
      </c>
      <c r="G677" s="25" t="n">
        <v>1</v>
      </c>
      <c r="H677" s="27" t="n">
        <v>3200</v>
      </c>
      <c r="I677" s="28" t="n">
        <v>0</v>
      </c>
      <c r="J677" s="27" t="n">
        <v>1900</v>
      </c>
      <c r="K677" s="27">
        <f>G677*H677*(1-I677)</f>
        <v/>
      </c>
      <c r="L677" s="27">
        <f>K677-G677*J677</f>
        <v/>
      </c>
    </row>
    <row r="678">
      <c r="A678" s="25" t="inlineStr">
        <is>
          <t>ORD-11122</t>
        </is>
      </c>
      <c r="B678" s="26" t="n">
        <v>45903</v>
      </c>
      <c r="C678" s="25">
        <f>MONTH(B678)</f>
        <v/>
      </c>
      <c r="D678" s="25" t="inlineStr">
        <is>
          <t>North</t>
        </is>
      </c>
      <c r="E678" s="25" t="inlineStr">
        <is>
          <t>Accessories</t>
        </is>
      </c>
      <c r="F678" s="25" t="inlineStr">
        <is>
          <t>Headphones</t>
        </is>
      </c>
      <c r="G678" s="25" t="n">
        <v>2</v>
      </c>
      <c r="H678" s="27" t="n">
        <v>4500</v>
      </c>
      <c r="I678" s="28" t="n">
        <v>0</v>
      </c>
      <c r="J678" s="27" t="n">
        <v>2600</v>
      </c>
      <c r="K678" s="27">
        <f>G678*H678*(1-I678)</f>
        <v/>
      </c>
      <c r="L678" s="27">
        <f>K678-G678*J678</f>
        <v/>
      </c>
    </row>
    <row r="679">
      <c r="A679" s="25" t="inlineStr">
        <is>
          <t>ORD-11125</t>
        </is>
      </c>
      <c r="B679" s="26" t="n">
        <v>45903</v>
      </c>
      <c r="C679" s="25">
        <f>MONTH(B679)</f>
        <v/>
      </c>
      <c r="D679" s="25" t="inlineStr">
        <is>
          <t>South</t>
        </is>
      </c>
      <c r="E679" s="25" t="inlineStr">
        <is>
          <t>Furniture</t>
        </is>
      </c>
      <c r="F679" s="25" t="inlineStr">
        <is>
          <t>Bookshelf</t>
        </is>
      </c>
      <c r="G679" s="25" t="n">
        <v>1</v>
      </c>
      <c r="H679" s="27" t="n">
        <v>6200</v>
      </c>
      <c r="I679" s="28" t="n">
        <v>0.1</v>
      </c>
      <c r="J679" s="27" t="n">
        <v>4100</v>
      </c>
      <c r="K679" s="27">
        <f>G679*H679*(1-I679)</f>
        <v/>
      </c>
      <c r="L679" s="27">
        <f>K679-G679*J679</f>
        <v/>
      </c>
    </row>
    <row r="680">
      <c r="A680" s="25" t="inlineStr">
        <is>
          <t>ORD-11200</t>
        </is>
      </c>
      <c r="B680" s="26" t="n">
        <v>45903</v>
      </c>
      <c r="C680" s="25">
        <f>MONTH(B680)</f>
        <v/>
      </c>
      <c r="D680" s="25" t="inlineStr">
        <is>
          <t>South</t>
        </is>
      </c>
      <c r="E680" s="25" t="inlineStr">
        <is>
          <t>Office Supplies</t>
        </is>
      </c>
      <c r="F680" s="25" t="inlineStr">
        <is>
          <t>Printer Paper Box</t>
        </is>
      </c>
      <c r="G680" s="25" t="n">
        <v>3</v>
      </c>
      <c r="H680" s="27" t="n">
        <v>1600</v>
      </c>
      <c r="I680" s="28" t="n">
        <v>0.15</v>
      </c>
      <c r="J680" s="27" t="n">
        <v>1050</v>
      </c>
      <c r="K680" s="27">
        <f>G680*H680*(1-I680)</f>
        <v/>
      </c>
      <c r="L680" s="27">
        <f>K680-G680*J680</f>
        <v/>
      </c>
    </row>
    <row r="681">
      <c r="A681" s="25" t="inlineStr">
        <is>
          <t>ORD-10088</t>
        </is>
      </c>
      <c r="B681" s="26" t="n">
        <v>45904</v>
      </c>
      <c r="C681" s="25">
        <f>MONTH(B681)</f>
        <v/>
      </c>
      <c r="D681" s="25" t="inlineStr">
        <is>
          <t>South</t>
        </is>
      </c>
      <c r="E681" s="25" t="inlineStr">
        <is>
          <t>Technology</t>
        </is>
      </c>
      <c r="F681" s="25" t="inlineStr">
        <is>
          <t>Wireless Mouse</t>
        </is>
      </c>
      <c r="G681" s="25" t="n">
        <v>1</v>
      </c>
      <c r="H681" s="27" t="n">
        <v>1200</v>
      </c>
      <c r="I681" s="28" t="n">
        <v>0</v>
      </c>
      <c r="J681" s="27" t="n">
        <v>650</v>
      </c>
      <c r="K681" s="27">
        <f>G681*H681*(1-I681)</f>
        <v/>
      </c>
      <c r="L681" s="27">
        <f>K681-G681*J681</f>
        <v/>
      </c>
    </row>
    <row r="682">
      <c r="A682" s="25" t="inlineStr">
        <is>
          <t>ORD-10110</t>
        </is>
      </c>
      <c r="B682" s="26" t="n">
        <v>45904</v>
      </c>
      <c r="C682" s="25">
        <f>MONTH(B682)</f>
        <v/>
      </c>
      <c r="D682" s="25" t="inlineStr">
        <is>
          <t>East</t>
        </is>
      </c>
      <c r="E682" s="25" t="inlineStr">
        <is>
          <t>Accessories</t>
        </is>
      </c>
      <c r="F682" s="25" t="inlineStr">
        <is>
          <t>USB-C Hub</t>
        </is>
      </c>
      <c r="G682" s="25" t="n">
        <v>3</v>
      </c>
      <c r="H682" s="27" t="n">
        <v>1800</v>
      </c>
      <c r="I682" s="28" t="n">
        <v>0.05</v>
      </c>
      <c r="J682" s="27" t="n">
        <v>980</v>
      </c>
      <c r="K682" s="27">
        <f>G682*H682*(1-I682)</f>
        <v/>
      </c>
      <c r="L682" s="27">
        <f>K682-G682*J682</f>
        <v/>
      </c>
    </row>
    <row r="683">
      <c r="A683" s="25" t="inlineStr">
        <is>
          <t>ORD-10402</t>
        </is>
      </c>
      <c r="B683" s="26" t="n">
        <v>45904</v>
      </c>
      <c r="C683" s="25">
        <f>MONTH(B683)</f>
        <v/>
      </c>
      <c r="D683" s="25" t="inlineStr">
        <is>
          <t>South</t>
        </is>
      </c>
      <c r="E683" s="25" t="inlineStr">
        <is>
          <t>Office Supplies</t>
        </is>
      </c>
      <c r="F683" s="25" t="inlineStr">
        <is>
          <t>Printer Paper Box</t>
        </is>
      </c>
      <c r="G683" s="25" t="n">
        <v>6</v>
      </c>
      <c r="H683" s="27" t="n">
        <v>1600</v>
      </c>
      <c r="I683" s="28" t="n">
        <v>0</v>
      </c>
      <c r="J683" s="27" t="n">
        <v>1050</v>
      </c>
      <c r="K683" s="27">
        <f>G683*H683*(1-I683)</f>
        <v/>
      </c>
      <c r="L683" s="27">
        <f>K683-G683*J683</f>
        <v/>
      </c>
    </row>
    <row r="684">
      <c r="A684" s="25" t="inlineStr">
        <is>
          <t>ORD-10997</t>
        </is>
      </c>
      <c r="B684" s="26" t="n">
        <v>45904</v>
      </c>
      <c r="C684" s="25">
        <f>MONTH(B684)</f>
        <v/>
      </c>
      <c r="D684" s="25" t="inlineStr">
        <is>
          <t>South</t>
        </is>
      </c>
      <c r="E684" s="25" t="inlineStr">
        <is>
          <t>Furniture</t>
        </is>
      </c>
      <c r="F684" s="25" t="inlineStr">
        <is>
          <t>Bookshelf</t>
        </is>
      </c>
      <c r="G684" s="25" t="n">
        <v>3</v>
      </c>
      <c r="H684" s="27" t="n">
        <v>6200</v>
      </c>
      <c r="I684" s="28" t="n">
        <v>0</v>
      </c>
      <c r="J684" s="27" t="n">
        <v>4100</v>
      </c>
      <c r="K684" s="27">
        <f>G684*H684*(1-I684)</f>
        <v/>
      </c>
      <c r="L684" s="27">
        <f>K684-G684*J684</f>
        <v/>
      </c>
    </row>
    <row r="685">
      <c r="A685" s="25" t="inlineStr">
        <is>
          <t>ORD-10256</t>
        </is>
      </c>
      <c r="B685" s="26" t="n">
        <v>45905</v>
      </c>
      <c r="C685" s="25">
        <f>MONTH(B685)</f>
        <v/>
      </c>
      <c r="D685" s="25" t="inlineStr">
        <is>
          <t>East</t>
        </is>
      </c>
      <c r="E685" s="25" t="inlineStr">
        <is>
          <t>Office Supplies</t>
        </is>
      </c>
      <c r="F685" s="25" t="inlineStr">
        <is>
          <t>Notebook Set</t>
        </is>
      </c>
      <c r="G685" s="25" t="n">
        <v>4</v>
      </c>
      <c r="H685" s="27" t="n">
        <v>450</v>
      </c>
      <c r="I685" s="28" t="n">
        <v>0.15</v>
      </c>
      <c r="J685" s="27" t="n">
        <v>190</v>
      </c>
      <c r="K685" s="27">
        <f>G685*H685*(1-I685)</f>
        <v/>
      </c>
      <c r="L685" s="27">
        <f>K685-G685*J685</f>
        <v/>
      </c>
    </row>
    <row r="686">
      <c r="A686" s="25" t="inlineStr">
        <is>
          <t>ORD-10786</t>
        </is>
      </c>
      <c r="B686" s="26" t="n">
        <v>45905</v>
      </c>
      <c r="C686" s="25">
        <f>MONTH(B686)</f>
        <v/>
      </c>
      <c r="D686" s="25" t="inlineStr">
        <is>
          <t>South</t>
        </is>
      </c>
      <c r="E686" s="25" t="inlineStr">
        <is>
          <t>Technology</t>
        </is>
      </c>
      <c r="F686" s="25" t="inlineStr">
        <is>
          <t>Wireless Mouse</t>
        </is>
      </c>
      <c r="G686" s="25" t="n">
        <v>5</v>
      </c>
      <c r="H686" s="27" t="n">
        <v>1200</v>
      </c>
      <c r="I686" s="28" t="n">
        <v>0.1</v>
      </c>
      <c r="J686" s="27" t="n">
        <v>650</v>
      </c>
      <c r="K686" s="27">
        <f>G686*H686*(1-I686)</f>
        <v/>
      </c>
      <c r="L686" s="27">
        <f>K686-G686*J686</f>
        <v/>
      </c>
    </row>
    <row r="687">
      <c r="A687" s="25" t="inlineStr">
        <is>
          <t>ORD-10792</t>
        </is>
      </c>
      <c r="B687" s="26" t="n">
        <v>45905</v>
      </c>
      <c r="C687" s="25">
        <f>MONTH(B687)</f>
        <v/>
      </c>
      <c r="D687" s="25" t="inlineStr">
        <is>
          <t>South</t>
        </is>
      </c>
      <c r="E687" s="25" t="inlineStr">
        <is>
          <t>Office Supplies</t>
        </is>
      </c>
      <c r="F687" s="25" t="inlineStr">
        <is>
          <t>Notebook Set</t>
        </is>
      </c>
      <c r="G687" s="25" t="n">
        <v>1</v>
      </c>
      <c r="H687" s="27" t="n">
        <v>450</v>
      </c>
      <c r="I687" s="28" t="n">
        <v>0</v>
      </c>
      <c r="J687" s="27" t="n">
        <v>190</v>
      </c>
      <c r="K687" s="27">
        <f>G687*H687*(1-I687)</f>
        <v/>
      </c>
      <c r="L687" s="27">
        <f>K687-G687*J687</f>
        <v/>
      </c>
    </row>
    <row r="688">
      <c r="A688" s="25" t="inlineStr">
        <is>
          <t>ORD-10845</t>
        </is>
      </c>
      <c r="B688" s="26" t="n">
        <v>45905</v>
      </c>
      <c r="C688" s="25">
        <f>MONTH(B688)</f>
        <v/>
      </c>
      <c r="D688" s="25" t="inlineStr">
        <is>
          <t>East</t>
        </is>
      </c>
      <c r="E688" s="25" t="inlineStr">
        <is>
          <t>Accessories</t>
        </is>
      </c>
      <c r="F688" s="25" t="inlineStr">
        <is>
          <t>USB-C Hub</t>
        </is>
      </c>
      <c r="G688" s="25" t="n">
        <v>1</v>
      </c>
      <c r="H688" s="27" t="n">
        <v>1800</v>
      </c>
      <c r="I688" s="28" t="n">
        <v>0</v>
      </c>
      <c r="J688" s="27" t="n">
        <v>980</v>
      </c>
      <c r="K688" s="27">
        <f>G688*H688*(1-I688)</f>
        <v/>
      </c>
      <c r="L688" s="27">
        <f>K688-G688*J688</f>
        <v/>
      </c>
    </row>
    <row r="689">
      <c r="A689" s="25" t="inlineStr">
        <is>
          <t>ORD-11133</t>
        </is>
      </c>
      <c r="B689" s="26" t="n">
        <v>45905</v>
      </c>
      <c r="C689" s="25">
        <f>MONTH(B689)</f>
        <v/>
      </c>
      <c r="D689" s="25" t="inlineStr">
        <is>
          <t>South</t>
        </is>
      </c>
      <c r="E689" s="25" t="inlineStr">
        <is>
          <t>Office Supplies</t>
        </is>
      </c>
      <c r="F689" s="25" t="inlineStr">
        <is>
          <t>Printer Paper Box</t>
        </is>
      </c>
      <c r="G689" s="25" t="n">
        <v>5</v>
      </c>
      <c r="H689" s="27" t="n">
        <v>1600</v>
      </c>
      <c r="I689" s="28" t="n">
        <v>0</v>
      </c>
      <c r="J689" s="27" t="n">
        <v>1050</v>
      </c>
      <c r="K689" s="27">
        <f>G689*H689*(1-I689)</f>
        <v/>
      </c>
      <c r="L689" s="27">
        <f>K689-G689*J689</f>
        <v/>
      </c>
    </row>
    <row r="690">
      <c r="A690" s="25" t="inlineStr">
        <is>
          <t>ORD-10665</t>
        </is>
      </c>
      <c r="B690" s="26" t="n">
        <v>45906</v>
      </c>
      <c r="C690" s="25">
        <f>MONTH(B690)</f>
        <v/>
      </c>
      <c r="D690" s="25" t="inlineStr">
        <is>
          <t>South</t>
        </is>
      </c>
      <c r="E690" s="25" t="inlineStr">
        <is>
          <t>Office Supplies</t>
        </is>
      </c>
      <c r="F690" s="25" t="inlineStr">
        <is>
          <t>Notebook Set</t>
        </is>
      </c>
      <c r="G690" s="25" t="n">
        <v>3</v>
      </c>
      <c r="H690" s="27" t="n">
        <v>450</v>
      </c>
      <c r="I690" s="28" t="n">
        <v>0.05</v>
      </c>
      <c r="J690" s="27" t="n">
        <v>190</v>
      </c>
      <c r="K690" s="27">
        <f>G690*H690*(1-I690)</f>
        <v/>
      </c>
      <c r="L690" s="27">
        <f>K690-G690*J690</f>
        <v/>
      </c>
    </row>
    <row r="691">
      <c r="A691" s="25" t="inlineStr">
        <is>
          <t>ORD-11165</t>
        </is>
      </c>
      <c r="B691" s="26" t="n">
        <v>45906</v>
      </c>
      <c r="C691" s="25">
        <f>MONTH(B691)</f>
        <v/>
      </c>
      <c r="D691" s="25" t="inlineStr">
        <is>
          <t>East</t>
        </is>
      </c>
      <c r="E691" s="25" t="inlineStr">
        <is>
          <t>Furniture</t>
        </is>
      </c>
      <c r="F691" s="25" t="inlineStr">
        <is>
          <t>Office Chair</t>
        </is>
      </c>
      <c r="G691" s="25" t="n">
        <v>1</v>
      </c>
      <c r="H691" s="27" t="n">
        <v>8500</v>
      </c>
      <c r="I691" s="28" t="n">
        <v>0.15</v>
      </c>
      <c r="J691" s="27" t="n">
        <v>5600</v>
      </c>
      <c r="K691" s="27">
        <f>G691*H691*(1-I691)</f>
        <v/>
      </c>
      <c r="L691" s="27">
        <f>K691-G691*J691</f>
        <v/>
      </c>
    </row>
    <row r="692">
      <c r="A692" s="25" t="inlineStr">
        <is>
          <t>ORD-10101</t>
        </is>
      </c>
      <c r="B692" s="26" t="n">
        <v>45907</v>
      </c>
      <c r="C692" s="25">
        <f>MONTH(B692)</f>
        <v/>
      </c>
      <c r="D692" s="25" t="inlineStr">
        <is>
          <t>South</t>
        </is>
      </c>
      <c r="E692" s="25" t="inlineStr">
        <is>
          <t>Furniture</t>
        </is>
      </c>
      <c r="F692" s="25" t="inlineStr">
        <is>
          <t>Standing Desk</t>
        </is>
      </c>
      <c r="G692" s="25" t="n">
        <v>2</v>
      </c>
      <c r="H692" s="27" t="n">
        <v>19500</v>
      </c>
      <c r="I692" s="28" t="n">
        <v>0.1</v>
      </c>
      <c r="J692" s="27" t="n">
        <v>13800</v>
      </c>
      <c r="K692" s="27">
        <f>G692*H692*(1-I692)</f>
        <v/>
      </c>
      <c r="L692" s="27">
        <f>K692-G692*J692</f>
        <v/>
      </c>
    </row>
    <row r="693">
      <c r="A693" s="25" t="inlineStr">
        <is>
          <t>ORD-10120</t>
        </is>
      </c>
      <c r="B693" s="26" t="n">
        <v>45907</v>
      </c>
      <c r="C693" s="25">
        <f>MONTH(B693)</f>
        <v/>
      </c>
      <c r="D693" s="25" t="inlineStr">
        <is>
          <t>North</t>
        </is>
      </c>
      <c r="E693" s="25" t="inlineStr">
        <is>
          <t>Technology</t>
        </is>
      </c>
      <c r="F693" s="25" t="inlineStr">
        <is>
          <t>Wireless Mouse</t>
        </is>
      </c>
      <c r="G693" s="25" t="n">
        <v>2</v>
      </c>
      <c r="H693" s="27" t="n">
        <v>1200</v>
      </c>
      <c r="I693" s="28" t="n">
        <v>0</v>
      </c>
      <c r="J693" s="27" t="n">
        <v>650</v>
      </c>
      <c r="K693" s="27">
        <f>G693*H693*(1-I693)</f>
        <v/>
      </c>
      <c r="L693" s="27">
        <f>K693-G693*J693</f>
        <v/>
      </c>
    </row>
    <row r="694">
      <c r="A694" s="25" t="inlineStr">
        <is>
          <t>ORD-10241</t>
        </is>
      </c>
      <c r="B694" s="26" t="n">
        <v>45908</v>
      </c>
      <c r="C694" s="25">
        <f>MONTH(B694)</f>
        <v/>
      </c>
      <c r="D694" s="25" t="inlineStr">
        <is>
          <t>South</t>
        </is>
      </c>
      <c r="E694" s="25" t="inlineStr">
        <is>
          <t>Office Supplies</t>
        </is>
      </c>
      <c r="F694" s="25" t="inlineStr">
        <is>
          <t>Desk Organizer</t>
        </is>
      </c>
      <c r="G694" s="25" t="n">
        <v>4</v>
      </c>
      <c r="H694" s="27" t="n">
        <v>850</v>
      </c>
      <c r="I694" s="28" t="n">
        <v>0</v>
      </c>
      <c r="J694" s="27" t="n">
        <v>420</v>
      </c>
      <c r="K694" s="27">
        <f>G694*H694*(1-I694)</f>
        <v/>
      </c>
      <c r="L694" s="27">
        <f>K694-G694*J694</f>
        <v/>
      </c>
    </row>
    <row r="695">
      <c r="A695" s="25" t="inlineStr">
        <is>
          <t>ORD-10330</t>
        </is>
      </c>
      <c r="B695" s="26" t="n">
        <v>45908</v>
      </c>
      <c r="C695" s="25">
        <f>MONTH(B695)</f>
        <v/>
      </c>
      <c r="D695" s="25" t="inlineStr">
        <is>
          <t>West</t>
        </is>
      </c>
      <c r="E695" s="25" t="inlineStr">
        <is>
          <t>Office Supplies</t>
        </is>
      </c>
      <c r="F695" s="25" t="inlineStr">
        <is>
          <t>Printer Paper Box</t>
        </is>
      </c>
      <c r="G695" s="25" t="n">
        <v>1</v>
      </c>
      <c r="H695" s="27" t="n">
        <v>1600</v>
      </c>
      <c r="I695" s="28" t="n">
        <v>0.1</v>
      </c>
      <c r="J695" s="27" t="n">
        <v>1050</v>
      </c>
      <c r="K695" s="27">
        <f>G695*H695*(1-I695)</f>
        <v/>
      </c>
      <c r="L695" s="27">
        <f>K695-G695*J695</f>
        <v/>
      </c>
    </row>
    <row r="696">
      <c r="A696" s="25" t="inlineStr">
        <is>
          <t>ORD-10610</t>
        </is>
      </c>
      <c r="B696" s="26" t="n">
        <v>45908</v>
      </c>
      <c r="C696" s="25">
        <f>MONTH(B696)</f>
        <v/>
      </c>
      <c r="D696" s="25" t="inlineStr">
        <is>
          <t>West</t>
        </is>
      </c>
      <c r="E696" s="25" t="inlineStr">
        <is>
          <t>Technology</t>
        </is>
      </c>
      <c r="F696" s="25" t="inlineStr">
        <is>
          <t>Mechanical Keyboard</t>
        </is>
      </c>
      <c r="G696" s="25" t="n">
        <v>3</v>
      </c>
      <c r="H696" s="27" t="n">
        <v>4200</v>
      </c>
      <c r="I696" s="28" t="n">
        <v>0.1</v>
      </c>
      <c r="J696" s="27" t="n">
        <v>2500</v>
      </c>
      <c r="K696" s="27">
        <f>G696*H696*(1-I696)</f>
        <v/>
      </c>
      <c r="L696" s="27">
        <f>K696-G696*J696</f>
        <v/>
      </c>
    </row>
    <row r="697">
      <c r="A697" s="25" t="inlineStr">
        <is>
          <t>ORD-10635</t>
        </is>
      </c>
      <c r="B697" s="26" t="n">
        <v>45908</v>
      </c>
      <c r="C697" s="25">
        <f>MONTH(B697)</f>
        <v/>
      </c>
      <c r="D697" s="25" t="inlineStr">
        <is>
          <t>East</t>
        </is>
      </c>
      <c r="E697" s="25" t="inlineStr">
        <is>
          <t>Technology</t>
        </is>
      </c>
      <c r="F697" s="25" t="inlineStr">
        <is>
          <t>Mechanical Keyboard</t>
        </is>
      </c>
      <c r="G697" s="25" t="n">
        <v>2</v>
      </c>
      <c r="H697" s="27" t="n">
        <v>4200</v>
      </c>
      <c r="I697" s="28" t="n">
        <v>0</v>
      </c>
      <c r="J697" s="27" t="n">
        <v>2500</v>
      </c>
      <c r="K697" s="27">
        <f>G697*H697*(1-I697)</f>
        <v/>
      </c>
      <c r="L697" s="27">
        <f>K697-G697*J697</f>
        <v/>
      </c>
    </row>
    <row r="698">
      <c r="A698" s="25" t="inlineStr">
        <is>
          <t>ORD-10700</t>
        </is>
      </c>
      <c r="B698" s="26" t="n">
        <v>45908</v>
      </c>
      <c r="C698" s="25">
        <f>MONTH(B698)</f>
        <v/>
      </c>
      <c r="D698" s="25" t="inlineStr">
        <is>
          <t>North</t>
        </is>
      </c>
      <c r="E698" s="25" t="inlineStr">
        <is>
          <t>Office Supplies</t>
        </is>
      </c>
      <c r="F698" s="25" t="inlineStr">
        <is>
          <t>Desk Organizer</t>
        </is>
      </c>
      <c r="G698" s="25" t="n">
        <v>4</v>
      </c>
      <c r="H698" s="27" t="n">
        <v>850</v>
      </c>
      <c r="I698" s="28" t="n">
        <v>0</v>
      </c>
      <c r="J698" s="27" t="n">
        <v>420</v>
      </c>
      <c r="K698" s="27">
        <f>G698*H698*(1-I698)</f>
        <v/>
      </c>
      <c r="L698" s="27">
        <f>K698-G698*J698</f>
        <v/>
      </c>
    </row>
    <row r="699">
      <c r="A699" s="25" t="inlineStr">
        <is>
          <t>ORD-10855</t>
        </is>
      </c>
      <c r="B699" s="26" t="n">
        <v>45908</v>
      </c>
      <c r="C699" s="25">
        <f>MONTH(B699)</f>
        <v/>
      </c>
      <c r="D699" s="25" t="inlineStr">
        <is>
          <t>South</t>
        </is>
      </c>
      <c r="E699" s="25" t="inlineStr">
        <is>
          <t>Office Supplies</t>
        </is>
      </c>
      <c r="F699" s="25" t="inlineStr">
        <is>
          <t>Printer Paper Box</t>
        </is>
      </c>
      <c r="G699" s="25" t="n">
        <v>2</v>
      </c>
      <c r="H699" s="27" t="n">
        <v>1600</v>
      </c>
      <c r="I699" s="28" t="n">
        <v>0</v>
      </c>
      <c r="J699" s="27" t="n">
        <v>1050</v>
      </c>
      <c r="K699" s="27">
        <f>G699*H699*(1-I699)</f>
        <v/>
      </c>
      <c r="L699" s="27">
        <f>K699-G699*J699</f>
        <v/>
      </c>
    </row>
    <row r="700">
      <c r="A700" s="25" t="inlineStr">
        <is>
          <t>ORD-10307</t>
        </is>
      </c>
      <c r="B700" s="26" t="n">
        <v>45909</v>
      </c>
      <c r="C700" s="25">
        <f>MONTH(B700)</f>
        <v/>
      </c>
      <c r="D700" s="25" t="inlineStr">
        <is>
          <t>West</t>
        </is>
      </c>
      <c r="E700" s="25" t="inlineStr">
        <is>
          <t>Furniture</t>
        </is>
      </c>
      <c r="F700" s="25" t="inlineStr">
        <is>
          <t>Standing Desk</t>
        </is>
      </c>
      <c r="G700" s="25" t="n">
        <v>1</v>
      </c>
      <c r="H700" s="27" t="n">
        <v>19500</v>
      </c>
      <c r="I700" s="28" t="n">
        <v>0</v>
      </c>
      <c r="J700" s="27" t="n">
        <v>13800</v>
      </c>
      <c r="K700" s="27">
        <f>G700*H700*(1-I700)</f>
        <v/>
      </c>
      <c r="L700" s="27">
        <f>K700-G700*J700</f>
        <v/>
      </c>
    </row>
    <row r="701">
      <c r="A701" s="25" t="inlineStr">
        <is>
          <t>ORD-11183</t>
        </is>
      </c>
      <c r="B701" s="26" t="n">
        <v>45909</v>
      </c>
      <c r="C701" s="25">
        <f>MONTH(B701)</f>
        <v/>
      </c>
      <c r="D701" s="25" t="inlineStr">
        <is>
          <t>East</t>
        </is>
      </c>
      <c r="E701" s="25" t="inlineStr">
        <is>
          <t>Furniture</t>
        </is>
      </c>
      <c r="F701" s="25" t="inlineStr">
        <is>
          <t>Office Chair</t>
        </is>
      </c>
      <c r="G701" s="25" t="n">
        <v>2</v>
      </c>
      <c r="H701" s="27" t="n">
        <v>8500</v>
      </c>
      <c r="I701" s="28" t="n">
        <v>0.15</v>
      </c>
      <c r="J701" s="27" t="n">
        <v>5600</v>
      </c>
      <c r="K701" s="27">
        <f>G701*H701*(1-I701)</f>
        <v/>
      </c>
      <c r="L701" s="27">
        <f>K701-G701*J701</f>
        <v/>
      </c>
    </row>
    <row r="702">
      <c r="A702" s="25" t="inlineStr">
        <is>
          <t>ORD-10344</t>
        </is>
      </c>
      <c r="B702" s="26" t="n">
        <v>45910</v>
      </c>
      <c r="C702" s="25">
        <f>MONTH(B702)</f>
        <v/>
      </c>
      <c r="D702" s="25" t="inlineStr">
        <is>
          <t>South</t>
        </is>
      </c>
      <c r="E702" s="25" t="inlineStr">
        <is>
          <t>Technology</t>
        </is>
      </c>
      <c r="F702" s="25" t="inlineStr">
        <is>
          <t>Mechanical Keyboard</t>
        </is>
      </c>
      <c r="G702" s="25" t="n">
        <v>3</v>
      </c>
      <c r="H702" s="27" t="n">
        <v>4200</v>
      </c>
      <c r="I702" s="28" t="n">
        <v>0.2</v>
      </c>
      <c r="J702" s="27" t="n">
        <v>2500</v>
      </c>
      <c r="K702" s="27">
        <f>G702*H702*(1-I702)</f>
        <v/>
      </c>
      <c r="L702" s="27">
        <f>K702-G702*J702</f>
        <v/>
      </c>
    </row>
    <row r="703">
      <c r="A703" s="25" t="inlineStr">
        <is>
          <t>ORD-10379</t>
        </is>
      </c>
      <c r="B703" s="26" t="n">
        <v>45910</v>
      </c>
      <c r="C703" s="25">
        <f>MONTH(B703)</f>
        <v/>
      </c>
      <c r="D703" s="25" t="inlineStr">
        <is>
          <t>West</t>
        </is>
      </c>
      <c r="E703" s="25" t="inlineStr">
        <is>
          <t>Office Supplies</t>
        </is>
      </c>
      <c r="F703" s="25" t="inlineStr">
        <is>
          <t>Notebook Set</t>
        </is>
      </c>
      <c r="G703" s="25" t="n">
        <v>7</v>
      </c>
      <c r="H703" s="27" t="n">
        <v>450</v>
      </c>
      <c r="I703" s="28" t="n">
        <v>0.15</v>
      </c>
      <c r="J703" s="27" t="n">
        <v>190</v>
      </c>
      <c r="K703" s="27">
        <f>G703*H703*(1-I703)</f>
        <v/>
      </c>
      <c r="L703" s="27">
        <f>K703-G703*J703</f>
        <v/>
      </c>
    </row>
    <row r="704">
      <c r="A704" s="25" t="inlineStr">
        <is>
          <t>ORD-10754</t>
        </is>
      </c>
      <c r="B704" s="26" t="n">
        <v>45910</v>
      </c>
      <c r="C704" s="25">
        <f>MONTH(B704)</f>
        <v/>
      </c>
      <c r="D704" s="25" t="inlineStr">
        <is>
          <t>North</t>
        </is>
      </c>
      <c r="E704" s="25" t="inlineStr">
        <is>
          <t>Office Supplies</t>
        </is>
      </c>
      <c r="F704" s="25" t="inlineStr">
        <is>
          <t>Notebook Set</t>
        </is>
      </c>
      <c r="G704" s="25" t="n">
        <v>3</v>
      </c>
      <c r="H704" s="27" t="n">
        <v>450</v>
      </c>
      <c r="I704" s="28" t="n">
        <v>0.05</v>
      </c>
      <c r="J704" s="27" t="n">
        <v>190</v>
      </c>
      <c r="K704" s="27">
        <f>G704*H704*(1-I704)</f>
        <v/>
      </c>
      <c r="L704" s="27">
        <f>K704-G704*J704</f>
        <v/>
      </c>
    </row>
    <row r="705">
      <c r="A705" s="25" t="inlineStr">
        <is>
          <t>ORD-10785</t>
        </is>
      </c>
      <c r="B705" s="26" t="n">
        <v>45910</v>
      </c>
      <c r="C705" s="25">
        <f>MONTH(B705)</f>
        <v/>
      </c>
      <c r="D705" s="25" t="inlineStr">
        <is>
          <t>West</t>
        </is>
      </c>
      <c r="E705" s="25" t="inlineStr">
        <is>
          <t>Office Supplies</t>
        </is>
      </c>
      <c r="F705" s="25" t="inlineStr">
        <is>
          <t>Notebook Set</t>
        </is>
      </c>
      <c r="G705" s="25" t="n">
        <v>2</v>
      </c>
      <c r="H705" s="27" t="n">
        <v>450</v>
      </c>
      <c r="I705" s="28" t="n">
        <v>0</v>
      </c>
      <c r="J705" s="27" t="n">
        <v>190</v>
      </c>
      <c r="K705" s="27">
        <f>G705*H705*(1-I705)</f>
        <v/>
      </c>
      <c r="L705" s="27">
        <f>K705-G705*J705</f>
        <v/>
      </c>
    </row>
    <row r="706">
      <c r="A706" s="25" t="inlineStr">
        <is>
          <t>ORD-10111</t>
        </is>
      </c>
      <c r="B706" s="26" t="n">
        <v>45911</v>
      </c>
      <c r="C706" s="25">
        <f>MONTH(B706)</f>
        <v/>
      </c>
      <c r="D706" s="25" t="inlineStr">
        <is>
          <t>East</t>
        </is>
      </c>
      <c r="E706" s="25" t="inlineStr">
        <is>
          <t>Office Supplies</t>
        </is>
      </c>
      <c r="F706" s="25" t="inlineStr">
        <is>
          <t>Printer Paper Box</t>
        </is>
      </c>
      <c r="G706" s="25" t="n">
        <v>4</v>
      </c>
      <c r="H706" s="27" t="n">
        <v>1600</v>
      </c>
      <c r="I706" s="28" t="n">
        <v>0.05</v>
      </c>
      <c r="J706" s="27" t="n">
        <v>1050</v>
      </c>
      <c r="K706" s="27">
        <f>G706*H706*(1-I706)</f>
        <v/>
      </c>
      <c r="L706" s="27">
        <f>K706-G706*J706</f>
        <v/>
      </c>
    </row>
    <row r="707">
      <c r="A707" s="25" t="inlineStr">
        <is>
          <t>ORD-10143</t>
        </is>
      </c>
      <c r="B707" s="26" t="n">
        <v>45911</v>
      </c>
      <c r="C707" s="25">
        <f>MONTH(B707)</f>
        <v/>
      </c>
      <c r="D707" s="25" t="inlineStr">
        <is>
          <t>West</t>
        </is>
      </c>
      <c r="E707" s="25" t="inlineStr">
        <is>
          <t>Furniture</t>
        </is>
      </c>
      <c r="F707" s="25" t="inlineStr">
        <is>
          <t>Office Chair</t>
        </is>
      </c>
      <c r="G707" s="25" t="n">
        <v>2</v>
      </c>
      <c r="H707" s="27" t="n">
        <v>8500</v>
      </c>
      <c r="I707" s="28" t="n">
        <v>0</v>
      </c>
      <c r="J707" s="27" t="n">
        <v>5600</v>
      </c>
      <c r="K707" s="27">
        <f>G707*H707*(1-I707)</f>
        <v/>
      </c>
      <c r="L707" s="27">
        <f>K707-G707*J707</f>
        <v/>
      </c>
    </row>
    <row r="708">
      <c r="A708" s="25" t="inlineStr">
        <is>
          <t>ORD-10693</t>
        </is>
      </c>
      <c r="B708" s="26" t="n">
        <v>45911</v>
      </c>
      <c r="C708" s="25">
        <f>MONTH(B708)</f>
        <v/>
      </c>
      <c r="D708" s="25" t="inlineStr">
        <is>
          <t>South</t>
        </is>
      </c>
      <c r="E708" s="25" t="inlineStr">
        <is>
          <t>Technology</t>
        </is>
      </c>
      <c r="F708" s="25" t="inlineStr">
        <is>
          <t>Mechanical Keyboard</t>
        </is>
      </c>
      <c r="G708" s="25" t="n">
        <v>2</v>
      </c>
      <c r="H708" s="27" t="n">
        <v>4200</v>
      </c>
      <c r="I708" s="28" t="n">
        <v>0</v>
      </c>
      <c r="J708" s="27" t="n">
        <v>2500</v>
      </c>
      <c r="K708" s="27">
        <f>G708*H708*(1-I708)</f>
        <v/>
      </c>
      <c r="L708" s="27">
        <f>K708-G708*J708</f>
        <v/>
      </c>
    </row>
    <row r="709">
      <c r="A709" s="25" t="inlineStr">
        <is>
          <t>ORD-10749</t>
        </is>
      </c>
      <c r="B709" s="26" t="n">
        <v>45911</v>
      </c>
      <c r="C709" s="25">
        <f>MONTH(B709)</f>
        <v/>
      </c>
      <c r="D709" s="25" t="inlineStr">
        <is>
          <t>West</t>
        </is>
      </c>
      <c r="E709" s="25" t="inlineStr">
        <is>
          <t>Office Supplies</t>
        </is>
      </c>
      <c r="F709" s="25" t="inlineStr">
        <is>
          <t>Notebook Set</t>
        </is>
      </c>
      <c r="G709" s="25" t="n">
        <v>3</v>
      </c>
      <c r="H709" s="27" t="n">
        <v>450</v>
      </c>
      <c r="I709" s="28" t="n">
        <v>0.2</v>
      </c>
      <c r="J709" s="27" t="n">
        <v>190</v>
      </c>
      <c r="K709" s="27">
        <f>G709*H709*(1-I709)</f>
        <v/>
      </c>
      <c r="L709" s="27">
        <f>K709-G709*J709</f>
        <v/>
      </c>
    </row>
    <row r="710">
      <c r="A710" s="25" t="inlineStr">
        <is>
          <t>ORD-10831</t>
        </is>
      </c>
      <c r="B710" s="26" t="n">
        <v>45911</v>
      </c>
      <c r="C710" s="25">
        <f>MONTH(B710)</f>
        <v/>
      </c>
      <c r="D710" s="25" t="inlineStr">
        <is>
          <t>East</t>
        </is>
      </c>
      <c r="E710" s="25" t="inlineStr">
        <is>
          <t>Office Supplies</t>
        </is>
      </c>
      <c r="F710" s="25" t="inlineStr">
        <is>
          <t>Notebook Set</t>
        </is>
      </c>
      <c r="G710" s="25" t="n">
        <v>3</v>
      </c>
      <c r="H710" s="27" t="n">
        <v>450</v>
      </c>
      <c r="I710" s="28" t="n">
        <v>0</v>
      </c>
      <c r="J710" s="27" t="n">
        <v>190</v>
      </c>
      <c r="K710" s="27">
        <f>G710*H710*(1-I710)</f>
        <v/>
      </c>
      <c r="L710" s="27">
        <f>K710-G710*J710</f>
        <v/>
      </c>
    </row>
    <row r="711">
      <c r="A711" s="25" t="inlineStr">
        <is>
          <t>ORD-10962</t>
        </is>
      </c>
      <c r="B711" s="26" t="n">
        <v>45911</v>
      </c>
      <c r="C711" s="25">
        <f>MONTH(B711)</f>
        <v/>
      </c>
      <c r="D711" s="25" t="inlineStr">
        <is>
          <t>South</t>
        </is>
      </c>
      <c r="E711" s="25" t="inlineStr">
        <is>
          <t>Technology</t>
        </is>
      </c>
      <c r="F711" s="25" t="inlineStr">
        <is>
          <t>Monitor 24"</t>
        </is>
      </c>
      <c r="G711" s="25" t="n">
        <v>1</v>
      </c>
      <c r="H711" s="27" t="n">
        <v>11500</v>
      </c>
      <c r="I711" s="28" t="n">
        <v>0</v>
      </c>
      <c r="J711" s="27" t="n">
        <v>8200</v>
      </c>
      <c r="K711" s="27">
        <f>G711*H711*(1-I711)</f>
        <v/>
      </c>
      <c r="L711" s="27">
        <f>K711-G711*J711</f>
        <v/>
      </c>
    </row>
    <row r="712">
      <c r="A712" s="25" t="inlineStr">
        <is>
          <t>ORD-10964</t>
        </is>
      </c>
      <c r="B712" s="26" t="n">
        <v>45911</v>
      </c>
      <c r="C712" s="25">
        <f>MONTH(B712)</f>
        <v/>
      </c>
      <c r="D712" s="25" t="inlineStr">
        <is>
          <t>East</t>
        </is>
      </c>
      <c r="E712" s="25" t="inlineStr">
        <is>
          <t>Office Supplies</t>
        </is>
      </c>
      <c r="F712" s="25" t="inlineStr">
        <is>
          <t>Notebook Set</t>
        </is>
      </c>
      <c r="G712" s="25" t="n">
        <v>6</v>
      </c>
      <c r="H712" s="27" t="n">
        <v>450</v>
      </c>
      <c r="I712" s="28" t="n">
        <v>0.05</v>
      </c>
      <c r="J712" s="27" t="n">
        <v>190</v>
      </c>
      <c r="K712" s="27">
        <f>G712*H712*(1-I712)</f>
        <v/>
      </c>
      <c r="L712" s="27">
        <f>K712-G712*J712</f>
        <v/>
      </c>
    </row>
    <row r="713">
      <c r="A713" s="25" t="inlineStr">
        <is>
          <t>ORD-10979</t>
        </is>
      </c>
      <c r="B713" s="26" t="n">
        <v>45911</v>
      </c>
      <c r="C713" s="25">
        <f>MONTH(B713)</f>
        <v/>
      </c>
      <c r="D713" s="25" t="inlineStr">
        <is>
          <t>East</t>
        </is>
      </c>
      <c r="E713" s="25" t="inlineStr">
        <is>
          <t>Office Supplies</t>
        </is>
      </c>
      <c r="F713" s="25" t="inlineStr">
        <is>
          <t>Notebook Set</t>
        </is>
      </c>
      <c r="G713" s="25" t="n">
        <v>4</v>
      </c>
      <c r="H713" s="27" t="n">
        <v>450</v>
      </c>
      <c r="I713" s="28" t="n">
        <v>0</v>
      </c>
      <c r="J713" s="27" t="n">
        <v>190</v>
      </c>
      <c r="K713" s="27">
        <f>G713*H713*(1-I713)</f>
        <v/>
      </c>
      <c r="L713" s="27">
        <f>K713-G713*J713</f>
        <v/>
      </c>
    </row>
    <row r="714">
      <c r="A714" s="25" t="inlineStr">
        <is>
          <t>ORD-10755</t>
        </is>
      </c>
      <c r="B714" s="26" t="n">
        <v>45912</v>
      </c>
      <c r="C714" s="25">
        <f>MONTH(B714)</f>
        <v/>
      </c>
      <c r="D714" s="25" t="inlineStr">
        <is>
          <t>South</t>
        </is>
      </c>
      <c r="E714" s="25" t="inlineStr">
        <is>
          <t>Accessories</t>
        </is>
      </c>
      <c r="F714" s="25" t="inlineStr">
        <is>
          <t>USB-C Hub</t>
        </is>
      </c>
      <c r="G714" s="25" t="n">
        <v>3</v>
      </c>
      <c r="H714" s="27" t="n">
        <v>1800</v>
      </c>
      <c r="I714" s="28" t="n">
        <v>0</v>
      </c>
      <c r="J714" s="27" t="n">
        <v>980</v>
      </c>
      <c r="K714" s="27">
        <f>G714*H714*(1-I714)</f>
        <v/>
      </c>
      <c r="L714" s="27">
        <f>K714-G714*J714</f>
        <v/>
      </c>
    </row>
    <row r="715">
      <c r="A715" s="25" t="inlineStr">
        <is>
          <t>ORD-10103</t>
        </is>
      </c>
      <c r="B715" s="26" t="n">
        <v>45913</v>
      </c>
      <c r="C715" s="25">
        <f>MONTH(B715)</f>
        <v/>
      </c>
      <c r="D715" s="25" t="inlineStr">
        <is>
          <t>North</t>
        </is>
      </c>
      <c r="E715" s="25" t="inlineStr">
        <is>
          <t>Furniture</t>
        </is>
      </c>
      <c r="F715" s="25" t="inlineStr">
        <is>
          <t>Office Chair</t>
        </is>
      </c>
      <c r="G715" s="25" t="n">
        <v>2</v>
      </c>
      <c r="H715" s="27" t="n">
        <v>8500</v>
      </c>
      <c r="I715" s="28" t="n">
        <v>0</v>
      </c>
      <c r="J715" s="27" t="n">
        <v>5600</v>
      </c>
      <c r="K715" s="27">
        <f>G715*H715*(1-I715)</f>
        <v/>
      </c>
      <c r="L715" s="27">
        <f>K715-G715*J715</f>
        <v/>
      </c>
    </row>
    <row r="716">
      <c r="A716" s="25" t="inlineStr">
        <is>
          <t>ORD-10444</t>
        </is>
      </c>
      <c r="B716" s="26" t="n">
        <v>45913</v>
      </c>
      <c r="C716" s="25">
        <f>MONTH(B716)</f>
        <v/>
      </c>
      <c r="D716" s="25" t="inlineStr">
        <is>
          <t>West</t>
        </is>
      </c>
      <c r="E716" s="25" t="inlineStr">
        <is>
          <t>Technology</t>
        </is>
      </c>
      <c r="F716" s="25" t="inlineStr">
        <is>
          <t>Wireless Mouse</t>
        </is>
      </c>
      <c r="G716" s="25" t="n">
        <v>3</v>
      </c>
      <c r="H716" s="27" t="n">
        <v>1200</v>
      </c>
      <c r="I716" s="28" t="n">
        <v>0</v>
      </c>
      <c r="J716" s="27" t="n">
        <v>650</v>
      </c>
      <c r="K716" s="27">
        <f>G716*H716*(1-I716)</f>
        <v/>
      </c>
      <c r="L716" s="27">
        <f>K716-G716*J716</f>
        <v/>
      </c>
    </row>
    <row r="717">
      <c r="A717" s="25" t="inlineStr">
        <is>
          <t>ORD-10489</t>
        </is>
      </c>
      <c r="B717" s="26" t="n">
        <v>45913</v>
      </c>
      <c r="C717" s="25">
        <f>MONTH(B717)</f>
        <v/>
      </c>
      <c r="D717" s="25" t="inlineStr">
        <is>
          <t>West</t>
        </is>
      </c>
      <c r="E717" s="25" t="inlineStr">
        <is>
          <t>Furniture</t>
        </is>
      </c>
      <c r="F717" s="25" t="inlineStr">
        <is>
          <t>Office Chair</t>
        </is>
      </c>
      <c r="G717" s="25" t="n">
        <v>2</v>
      </c>
      <c r="H717" s="27" t="n">
        <v>8500</v>
      </c>
      <c r="I717" s="28" t="n">
        <v>0</v>
      </c>
      <c r="J717" s="27" t="n">
        <v>5600</v>
      </c>
      <c r="K717" s="27">
        <f>G717*H717*(1-I717)</f>
        <v/>
      </c>
      <c r="L717" s="27">
        <f>K717-G717*J717</f>
        <v/>
      </c>
    </row>
    <row r="718">
      <c r="A718" s="25" t="inlineStr">
        <is>
          <t>ORD-11018</t>
        </is>
      </c>
      <c r="B718" s="26" t="n">
        <v>45913</v>
      </c>
      <c r="C718" s="25">
        <f>MONTH(B718)</f>
        <v/>
      </c>
      <c r="D718" s="25" t="inlineStr">
        <is>
          <t>West</t>
        </is>
      </c>
      <c r="E718" s="25" t="inlineStr">
        <is>
          <t>Technology</t>
        </is>
      </c>
      <c r="F718" s="25" t="inlineStr">
        <is>
          <t>Monitor 24"</t>
        </is>
      </c>
      <c r="G718" s="25" t="n">
        <v>2</v>
      </c>
      <c r="H718" s="27" t="n">
        <v>11500</v>
      </c>
      <c r="I718" s="28" t="n">
        <v>0</v>
      </c>
      <c r="J718" s="27" t="n">
        <v>8200</v>
      </c>
      <c r="K718" s="27">
        <f>G718*H718*(1-I718)</f>
        <v/>
      </c>
      <c r="L718" s="27">
        <f>K718-G718*J718</f>
        <v/>
      </c>
    </row>
    <row r="719">
      <c r="A719" s="25" t="inlineStr">
        <is>
          <t>ORD-10313</t>
        </is>
      </c>
      <c r="B719" s="26" t="n">
        <v>45914</v>
      </c>
      <c r="C719" s="25">
        <f>MONTH(B719)</f>
        <v/>
      </c>
      <c r="D719" s="25" t="inlineStr">
        <is>
          <t>East</t>
        </is>
      </c>
      <c r="E719" s="25" t="inlineStr">
        <is>
          <t>Technology</t>
        </is>
      </c>
      <c r="F719" s="25" t="inlineStr">
        <is>
          <t>Monitor 24"</t>
        </is>
      </c>
      <c r="G719" s="25" t="n">
        <v>1</v>
      </c>
      <c r="H719" s="27" t="n">
        <v>11500</v>
      </c>
      <c r="I719" s="28" t="n">
        <v>0.2</v>
      </c>
      <c r="J719" s="27" t="n">
        <v>8200</v>
      </c>
      <c r="K719" s="27">
        <f>G719*H719*(1-I719)</f>
        <v/>
      </c>
      <c r="L719" s="27">
        <f>K719-G719*J719</f>
        <v/>
      </c>
    </row>
    <row r="720">
      <c r="A720" s="25" t="inlineStr">
        <is>
          <t>ORD-10842</t>
        </is>
      </c>
      <c r="B720" s="26" t="n">
        <v>45914</v>
      </c>
      <c r="C720" s="25">
        <f>MONTH(B720)</f>
        <v/>
      </c>
      <c r="D720" s="25" t="inlineStr">
        <is>
          <t>North</t>
        </is>
      </c>
      <c r="E720" s="25" t="inlineStr">
        <is>
          <t>Accessories</t>
        </is>
      </c>
      <c r="F720" s="25" t="inlineStr">
        <is>
          <t>USB-C Hub</t>
        </is>
      </c>
      <c r="G720" s="25" t="n">
        <v>4</v>
      </c>
      <c r="H720" s="27" t="n">
        <v>1800</v>
      </c>
      <c r="I720" s="28" t="n">
        <v>0.2</v>
      </c>
      <c r="J720" s="27" t="n">
        <v>980</v>
      </c>
      <c r="K720" s="27">
        <f>G720*H720*(1-I720)</f>
        <v/>
      </c>
      <c r="L720" s="27">
        <f>K720-G720*J720</f>
        <v/>
      </c>
    </row>
    <row r="721">
      <c r="A721" s="25" t="inlineStr">
        <is>
          <t>ORD-10912</t>
        </is>
      </c>
      <c r="B721" s="26" t="n">
        <v>45914</v>
      </c>
      <c r="C721" s="25">
        <f>MONTH(B721)</f>
        <v/>
      </c>
      <c r="D721" s="25" t="inlineStr">
        <is>
          <t>North</t>
        </is>
      </c>
      <c r="E721" s="25" t="inlineStr">
        <is>
          <t>Accessories</t>
        </is>
      </c>
      <c r="F721" s="25" t="inlineStr">
        <is>
          <t>USB-C Hub</t>
        </is>
      </c>
      <c r="G721" s="25" t="n">
        <v>1</v>
      </c>
      <c r="H721" s="27" t="n">
        <v>1800</v>
      </c>
      <c r="I721" s="28" t="n">
        <v>0.15</v>
      </c>
      <c r="J721" s="27" t="n">
        <v>980</v>
      </c>
      <c r="K721" s="27">
        <f>G721*H721*(1-I721)</f>
        <v/>
      </c>
      <c r="L721" s="27">
        <f>K721-G721*J721</f>
        <v/>
      </c>
    </row>
    <row r="722">
      <c r="A722" s="25" t="inlineStr">
        <is>
          <t>ORD-10016</t>
        </is>
      </c>
      <c r="B722" s="26" t="n">
        <v>45915</v>
      </c>
      <c r="C722" s="25">
        <f>MONTH(B722)</f>
        <v/>
      </c>
      <c r="D722" s="25" t="inlineStr">
        <is>
          <t>South</t>
        </is>
      </c>
      <c r="E722" s="25" t="inlineStr">
        <is>
          <t>Technology</t>
        </is>
      </c>
      <c r="F722" s="25" t="inlineStr">
        <is>
          <t>Wireless Mouse</t>
        </is>
      </c>
      <c r="G722" s="25" t="n">
        <v>3</v>
      </c>
      <c r="H722" s="27" t="n">
        <v>1200</v>
      </c>
      <c r="I722" s="28" t="n">
        <v>0</v>
      </c>
      <c r="J722" s="27" t="n">
        <v>650</v>
      </c>
      <c r="K722" s="27">
        <f>G722*H722*(1-I722)</f>
        <v/>
      </c>
      <c r="L722" s="27">
        <f>K722-G722*J722</f>
        <v/>
      </c>
    </row>
    <row r="723">
      <c r="A723" s="25" t="inlineStr">
        <is>
          <t>ORD-10965</t>
        </is>
      </c>
      <c r="B723" s="26" t="n">
        <v>45915</v>
      </c>
      <c r="C723" s="25">
        <f>MONTH(B723)</f>
        <v/>
      </c>
      <c r="D723" s="25" t="inlineStr">
        <is>
          <t>North</t>
        </is>
      </c>
      <c r="E723" s="25" t="inlineStr">
        <is>
          <t>Furniture</t>
        </is>
      </c>
      <c r="F723" s="25" t="inlineStr">
        <is>
          <t>Standing Desk</t>
        </is>
      </c>
      <c r="G723" s="25" t="n">
        <v>1</v>
      </c>
      <c r="H723" s="27" t="n">
        <v>19500</v>
      </c>
      <c r="I723" s="28" t="n">
        <v>0.2</v>
      </c>
      <c r="J723" s="27" t="n">
        <v>13800</v>
      </c>
      <c r="K723" s="27">
        <f>G723*H723*(1-I723)</f>
        <v/>
      </c>
      <c r="L723" s="27">
        <f>K723-G723*J723</f>
        <v/>
      </c>
    </row>
    <row r="724">
      <c r="A724" s="25" t="inlineStr">
        <is>
          <t>ORD-11146</t>
        </is>
      </c>
      <c r="B724" s="26" t="n">
        <v>45915</v>
      </c>
      <c r="C724" s="25">
        <f>MONTH(B724)</f>
        <v/>
      </c>
      <c r="D724" s="25" t="inlineStr">
        <is>
          <t>West</t>
        </is>
      </c>
      <c r="E724" s="25" t="inlineStr">
        <is>
          <t>Technology</t>
        </is>
      </c>
      <c r="F724" s="25" t="inlineStr">
        <is>
          <t>Mechanical Keyboard</t>
        </is>
      </c>
      <c r="G724" s="25" t="n">
        <v>1</v>
      </c>
      <c r="H724" s="27" t="n">
        <v>4200</v>
      </c>
      <c r="I724" s="28" t="n">
        <v>0</v>
      </c>
      <c r="J724" s="27" t="n">
        <v>2500</v>
      </c>
      <c r="K724" s="27">
        <f>G724*H724*(1-I724)</f>
        <v/>
      </c>
      <c r="L724" s="27">
        <f>K724-G724*J724</f>
        <v/>
      </c>
    </row>
    <row r="725">
      <c r="A725" s="25" t="inlineStr">
        <is>
          <t>ORD-10150</t>
        </is>
      </c>
      <c r="B725" s="26" t="n">
        <v>45916</v>
      </c>
      <c r="C725" s="25">
        <f>MONTH(B725)</f>
        <v/>
      </c>
      <c r="D725" s="25" t="inlineStr">
        <is>
          <t>West</t>
        </is>
      </c>
      <c r="E725" s="25" t="inlineStr">
        <is>
          <t>Furniture</t>
        </is>
      </c>
      <c r="F725" s="25" t="inlineStr">
        <is>
          <t>Standing Desk</t>
        </is>
      </c>
      <c r="G725" s="25" t="n">
        <v>1</v>
      </c>
      <c r="H725" s="27" t="n">
        <v>19500</v>
      </c>
      <c r="I725" s="28" t="n">
        <v>0</v>
      </c>
      <c r="J725" s="27" t="n">
        <v>13800</v>
      </c>
      <c r="K725" s="27">
        <f>G725*H725*(1-I725)</f>
        <v/>
      </c>
      <c r="L725" s="27">
        <f>K725-G725*J725</f>
        <v/>
      </c>
    </row>
    <row r="726">
      <c r="A726" s="25" t="inlineStr">
        <is>
          <t>ORD-10217</t>
        </is>
      </c>
      <c r="B726" s="26" t="n">
        <v>45916</v>
      </c>
      <c r="C726" s="25">
        <f>MONTH(B726)</f>
        <v/>
      </c>
      <c r="D726" s="25" t="inlineStr">
        <is>
          <t>South</t>
        </is>
      </c>
      <c r="E726" s="25" t="inlineStr">
        <is>
          <t>Furniture</t>
        </is>
      </c>
      <c r="F726" s="25" t="inlineStr">
        <is>
          <t>Bookshelf</t>
        </is>
      </c>
      <c r="G726" s="25" t="n">
        <v>2</v>
      </c>
      <c r="H726" s="27" t="n">
        <v>6200</v>
      </c>
      <c r="I726" s="28" t="n">
        <v>0.15</v>
      </c>
      <c r="J726" s="27" t="n">
        <v>4100</v>
      </c>
      <c r="K726" s="27">
        <f>G726*H726*(1-I726)</f>
        <v/>
      </c>
      <c r="L726" s="27">
        <f>K726-G726*J726</f>
        <v/>
      </c>
    </row>
    <row r="727">
      <c r="A727" s="25" t="inlineStr">
        <is>
          <t>ORD-10748</t>
        </is>
      </c>
      <c r="B727" s="26" t="n">
        <v>45916</v>
      </c>
      <c r="C727" s="25">
        <f>MONTH(B727)</f>
        <v/>
      </c>
      <c r="D727" s="25" t="inlineStr">
        <is>
          <t>West</t>
        </is>
      </c>
      <c r="E727" s="25" t="inlineStr">
        <is>
          <t>Office Supplies</t>
        </is>
      </c>
      <c r="F727" s="25" t="inlineStr">
        <is>
          <t>Desk Organizer</t>
        </is>
      </c>
      <c r="G727" s="25" t="n">
        <v>3</v>
      </c>
      <c r="H727" s="27" t="n">
        <v>850</v>
      </c>
      <c r="I727" s="28" t="n">
        <v>0.1</v>
      </c>
      <c r="J727" s="27" t="n">
        <v>420</v>
      </c>
      <c r="K727" s="27">
        <f>G727*H727*(1-I727)</f>
        <v/>
      </c>
      <c r="L727" s="27">
        <f>K727-G727*J727</f>
        <v/>
      </c>
    </row>
    <row r="728">
      <c r="A728" s="25" t="inlineStr">
        <is>
          <t>ORD-10854</t>
        </is>
      </c>
      <c r="B728" s="26" t="n">
        <v>45916</v>
      </c>
      <c r="C728" s="25">
        <f>MONTH(B728)</f>
        <v/>
      </c>
      <c r="D728" s="25" t="inlineStr">
        <is>
          <t>West</t>
        </is>
      </c>
      <c r="E728" s="25" t="inlineStr">
        <is>
          <t>Technology</t>
        </is>
      </c>
      <c r="F728" s="25" t="inlineStr">
        <is>
          <t>Wireless Mouse</t>
        </is>
      </c>
      <c r="G728" s="25" t="n">
        <v>5</v>
      </c>
      <c r="H728" s="27" t="n">
        <v>1200</v>
      </c>
      <c r="I728" s="28" t="n">
        <v>0.1</v>
      </c>
      <c r="J728" s="27" t="n">
        <v>650</v>
      </c>
      <c r="K728" s="27">
        <f>G728*H728*(1-I728)</f>
        <v/>
      </c>
      <c r="L728" s="27">
        <f>K728-G728*J728</f>
        <v/>
      </c>
    </row>
    <row r="729">
      <c r="A729" s="25" t="inlineStr">
        <is>
          <t>ORD-10977</t>
        </is>
      </c>
      <c r="B729" s="26" t="n">
        <v>45916</v>
      </c>
      <c r="C729" s="25">
        <f>MONTH(B729)</f>
        <v/>
      </c>
      <c r="D729" s="25" t="inlineStr">
        <is>
          <t>North</t>
        </is>
      </c>
      <c r="E729" s="25" t="inlineStr">
        <is>
          <t>Office Supplies</t>
        </is>
      </c>
      <c r="F729" s="25" t="inlineStr">
        <is>
          <t>Desk Organizer</t>
        </is>
      </c>
      <c r="G729" s="25" t="n">
        <v>4</v>
      </c>
      <c r="H729" s="27" t="n">
        <v>850</v>
      </c>
      <c r="I729" s="28" t="n">
        <v>0</v>
      </c>
      <c r="J729" s="27" t="n">
        <v>420</v>
      </c>
      <c r="K729" s="27">
        <f>G729*H729*(1-I729)</f>
        <v/>
      </c>
      <c r="L729" s="27">
        <f>K729-G729*J729</f>
        <v/>
      </c>
    </row>
    <row r="730">
      <c r="A730" s="25" t="inlineStr">
        <is>
          <t>ORD-11176</t>
        </is>
      </c>
      <c r="B730" s="26" t="n">
        <v>45916</v>
      </c>
      <c r="C730" s="25">
        <f>MONTH(B730)</f>
        <v/>
      </c>
      <c r="D730" s="25" t="inlineStr">
        <is>
          <t>East</t>
        </is>
      </c>
      <c r="E730" s="25" t="inlineStr">
        <is>
          <t>Accessories</t>
        </is>
      </c>
      <c r="F730" s="25" t="inlineStr">
        <is>
          <t>Webcam</t>
        </is>
      </c>
      <c r="G730" s="25" t="n">
        <v>2</v>
      </c>
      <c r="H730" s="27" t="n">
        <v>3200</v>
      </c>
      <c r="I730" s="28" t="n">
        <v>0.1</v>
      </c>
      <c r="J730" s="27" t="n">
        <v>1900</v>
      </c>
      <c r="K730" s="27">
        <f>G730*H730*(1-I730)</f>
        <v/>
      </c>
      <c r="L730" s="27">
        <f>K730-G730*J730</f>
        <v/>
      </c>
    </row>
    <row r="731">
      <c r="A731" s="25" t="inlineStr">
        <is>
          <t>ORD-10005</t>
        </is>
      </c>
      <c r="B731" s="26" t="n">
        <v>45917</v>
      </c>
      <c r="C731" s="25">
        <f>MONTH(B731)</f>
        <v/>
      </c>
      <c r="D731" s="25" t="inlineStr">
        <is>
          <t>East</t>
        </is>
      </c>
      <c r="E731" s="25" t="inlineStr">
        <is>
          <t>Office Supplies</t>
        </is>
      </c>
      <c r="F731" s="25" t="inlineStr">
        <is>
          <t>Desk Organizer</t>
        </is>
      </c>
      <c r="G731" s="25" t="n">
        <v>5</v>
      </c>
      <c r="H731" s="27" t="n">
        <v>850</v>
      </c>
      <c r="I731" s="28" t="n">
        <v>0</v>
      </c>
      <c r="J731" s="27" t="n">
        <v>420</v>
      </c>
      <c r="K731" s="27">
        <f>G731*H731*(1-I731)</f>
        <v/>
      </c>
      <c r="L731" s="27">
        <f>K731-G731*J731</f>
        <v/>
      </c>
    </row>
    <row r="732">
      <c r="A732" s="25" t="inlineStr">
        <is>
          <t>ORD-10174</t>
        </is>
      </c>
      <c r="B732" s="26" t="n">
        <v>45917</v>
      </c>
      <c r="C732" s="25">
        <f>MONTH(B732)</f>
        <v/>
      </c>
      <c r="D732" s="25" t="inlineStr">
        <is>
          <t>South</t>
        </is>
      </c>
      <c r="E732" s="25" t="inlineStr">
        <is>
          <t>Furniture</t>
        </is>
      </c>
      <c r="F732" s="25" t="inlineStr">
        <is>
          <t>Office Chair</t>
        </is>
      </c>
      <c r="G732" s="25" t="n">
        <v>1</v>
      </c>
      <c r="H732" s="27" t="n">
        <v>8500</v>
      </c>
      <c r="I732" s="28" t="n">
        <v>0</v>
      </c>
      <c r="J732" s="27" t="n">
        <v>5600</v>
      </c>
      <c r="K732" s="27">
        <f>G732*H732*(1-I732)</f>
        <v/>
      </c>
      <c r="L732" s="27">
        <f>K732-G732*J732</f>
        <v/>
      </c>
    </row>
    <row r="733">
      <c r="A733" s="25" t="inlineStr">
        <is>
          <t>ORD-10420</t>
        </is>
      </c>
      <c r="B733" s="26" t="n">
        <v>45917</v>
      </c>
      <c r="C733" s="25">
        <f>MONTH(B733)</f>
        <v/>
      </c>
      <c r="D733" s="25" t="inlineStr">
        <is>
          <t>South</t>
        </is>
      </c>
      <c r="E733" s="25" t="inlineStr">
        <is>
          <t>Office Supplies</t>
        </is>
      </c>
      <c r="F733" s="25" t="inlineStr">
        <is>
          <t>Printer Paper Box</t>
        </is>
      </c>
      <c r="G733" s="25" t="n">
        <v>5</v>
      </c>
      <c r="H733" s="27" t="n">
        <v>1600</v>
      </c>
      <c r="I733" s="28" t="n">
        <v>0</v>
      </c>
      <c r="J733" s="27" t="n">
        <v>1050</v>
      </c>
      <c r="K733" s="27">
        <f>G733*H733*(1-I733)</f>
        <v/>
      </c>
      <c r="L733" s="27">
        <f>K733-G733*J733</f>
        <v/>
      </c>
    </row>
    <row r="734">
      <c r="A734" s="25" t="inlineStr">
        <is>
          <t>ORD-10472</t>
        </is>
      </c>
      <c r="B734" s="26" t="n">
        <v>45917</v>
      </c>
      <c r="C734" s="25">
        <f>MONTH(B734)</f>
        <v/>
      </c>
      <c r="D734" s="25" t="inlineStr">
        <is>
          <t>South</t>
        </is>
      </c>
      <c r="E734" s="25" t="inlineStr">
        <is>
          <t>Accessories</t>
        </is>
      </c>
      <c r="F734" s="25" t="inlineStr">
        <is>
          <t>USB-C Hub</t>
        </is>
      </c>
      <c r="G734" s="25" t="n">
        <v>3</v>
      </c>
      <c r="H734" s="27" t="n">
        <v>1800</v>
      </c>
      <c r="I734" s="28" t="n">
        <v>0</v>
      </c>
      <c r="J734" s="27" t="n">
        <v>980</v>
      </c>
      <c r="K734" s="27">
        <f>G734*H734*(1-I734)</f>
        <v/>
      </c>
      <c r="L734" s="27">
        <f>K734-G734*J734</f>
        <v/>
      </c>
    </row>
    <row r="735">
      <c r="A735" s="25" t="inlineStr">
        <is>
          <t>ORD-11084</t>
        </is>
      </c>
      <c r="B735" s="26" t="n">
        <v>45917</v>
      </c>
      <c r="C735" s="25">
        <f>MONTH(B735)</f>
        <v/>
      </c>
      <c r="D735" s="25" t="inlineStr">
        <is>
          <t>South</t>
        </is>
      </c>
      <c r="E735" s="25" t="inlineStr">
        <is>
          <t>Furniture</t>
        </is>
      </c>
      <c r="F735" s="25" t="inlineStr">
        <is>
          <t>Bookshelf</t>
        </is>
      </c>
      <c r="G735" s="25" t="n">
        <v>1</v>
      </c>
      <c r="H735" s="27" t="n">
        <v>6200</v>
      </c>
      <c r="I735" s="28" t="n">
        <v>0</v>
      </c>
      <c r="J735" s="27" t="n">
        <v>4100</v>
      </c>
      <c r="K735" s="27">
        <f>G735*H735*(1-I735)</f>
        <v/>
      </c>
      <c r="L735" s="27">
        <f>K735-G735*J735</f>
        <v/>
      </c>
    </row>
    <row r="736">
      <c r="A736" s="25" t="inlineStr">
        <is>
          <t>ORD-11093</t>
        </is>
      </c>
      <c r="B736" s="26" t="n">
        <v>45917</v>
      </c>
      <c r="C736" s="25">
        <f>MONTH(B736)</f>
        <v/>
      </c>
      <c r="D736" s="25" t="inlineStr">
        <is>
          <t>North</t>
        </is>
      </c>
      <c r="E736" s="25" t="inlineStr">
        <is>
          <t>Accessories</t>
        </is>
      </c>
      <c r="F736" s="25" t="inlineStr">
        <is>
          <t>Headphones</t>
        </is>
      </c>
      <c r="G736" s="25" t="n">
        <v>2</v>
      </c>
      <c r="H736" s="27" t="n">
        <v>4500</v>
      </c>
      <c r="I736" s="28" t="n">
        <v>0.2</v>
      </c>
      <c r="J736" s="27" t="n">
        <v>2600</v>
      </c>
      <c r="K736" s="27">
        <f>G736*H736*(1-I736)</f>
        <v/>
      </c>
      <c r="L736" s="27">
        <f>K736-G736*J736</f>
        <v/>
      </c>
    </row>
    <row r="737">
      <c r="A737" s="25" t="inlineStr">
        <is>
          <t>ORD-10547</t>
        </is>
      </c>
      <c r="B737" s="26" t="n">
        <v>45918</v>
      </c>
      <c r="C737" s="25">
        <f>MONTH(B737)</f>
        <v/>
      </c>
      <c r="D737" s="25" t="inlineStr">
        <is>
          <t>West</t>
        </is>
      </c>
      <c r="E737" s="25" t="inlineStr">
        <is>
          <t>Office Supplies</t>
        </is>
      </c>
      <c r="F737" s="25" t="inlineStr">
        <is>
          <t>Notebook Set</t>
        </is>
      </c>
      <c r="G737" s="25" t="n">
        <v>8</v>
      </c>
      <c r="H737" s="27" t="n">
        <v>450</v>
      </c>
      <c r="I737" s="28" t="n">
        <v>0</v>
      </c>
      <c r="J737" s="27" t="n">
        <v>190</v>
      </c>
      <c r="K737" s="27">
        <f>G737*H737*(1-I737)</f>
        <v/>
      </c>
      <c r="L737" s="27">
        <f>K737-G737*J737</f>
        <v/>
      </c>
    </row>
    <row r="738">
      <c r="A738" s="25" t="inlineStr">
        <is>
          <t>ORD-11186</t>
        </is>
      </c>
      <c r="B738" s="26" t="n">
        <v>45918</v>
      </c>
      <c r="C738" s="25">
        <f>MONTH(B738)</f>
        <v/>
      </c>
      <c r="D738" s="25" t="inlineStr">
        <is>
          <t>West</t>
        </is>
      </c>
      <c r="E738" s="25" t="inlineStr">
        <is>
          <t>Accessories</t>
        </is>
      </c>
      <c r="F738" s="25" t="inlineStr">
        <is>
          <t>USB-C Hub</t>
        </is>
      </c>
      <c r="G738" s="25" t="n">
        <v>4</v>
      </c>
      <c r="H738" s="27" t="n">
        <v>1800</v>
      </c>
      <c r="I738" s="28" t="n">
        <v>0.05</v>
      </c>
      <c r="J738" s="27" t="n">
        <v>980</v>
      </c>
      <c r="K738" s="27">
        <f>G738*H738*(1-I738)</f>
        <v/>
      </c>
      <c r="L738" s="27">
        <f>K738-G738*J738</f>
        <v/>
      </c>
    </row>
    <row r="739">
      <c r="A739" s="25" t="inlineStr">
        <is>
          <t>ORD-10107</t>
        </is>
      </c>
      <c r="B739" s="26" t="n">
        <v>45919</v>
      </c>
      <c r="C739" s="25">
        <f>MONTH(B739)</f>
        <v/>
      </c>
      <c r="D739" s="25" t="inlineStr">
        <is>
          <t>North</t>
        </is>
      </c>
      <c r="E739" s="25" t="inlineStr">
        <is>
          <t>Technology</t>
        </is>
      </c>
      <c r="F739" s="25" t="inlineStr">
        <is>
          <t>Wireless Mouse</t>
        </is>
      </c>
      <c r="G739" s="25" t="n">
        <v>2</v>
      </c>
      <c r="H739" s="27" t="n">
        <v>1200</v>
      </c>
      <c r="I739" s="28" t="n">
        <v>0.05</v>
      </c>
      <c r="J739" s="27" t="n">
        <v>650</v>
      </c>
      <c r="K739" s="27">
        <f>G739*H739*(1-I739)</f>
        <v/>
      </c>
      <c r="L739" s="27">
        <f>K739-G739*J739</f>
        <v/>
      </c>
    </row>
    <row r="740">
      <c r="A740" s="25" t="inlineStr">
        <is>
          <t>ORD-10894</t>
        </is>
      </c>
      <c r="B740" s="26" t="n">
        <v>45919</v>
      </c>
      <c r="C740" s="25">
        <f>MONTH(B740)</f>
        <v/>
      </c>
      <c r="D740" s="25" t="inlineStr">
        <is>
          <t>North</t>
        </is>
      </c>
      <c r="E740" s="25" t="inlineStr">
        <is>
          <t>Office Supplies</t>
        </is>
      </c>
      <c r="F740" s="25" t="inlineStr">
        <is>
          <t>Printer Paper Box</t>
        </is>
      </c>
      <c r="G740" s="25" t="n">
        <v>5</v>
      </c>
      <c r="H740" s="27" t="n">
        <v>1600</v>
      </c>
      <c r="I740" s="28" t="n">
        <v>0.2</v>
      </c>
      <c r="J740" s="27" t="n">
        <v>1050</v>
      </c>
      <c r="K740" s="27">
        <f>G740*H740*(1-I740)</f>
        <v/>
      </c>
      <c r="L740" s="27">
        <f>K740-G740*J740</f>
        <v/>
      </c>
    </row>
    <row r="741">
      <c r="A741" s="25" t="inlineStr">
        <is>
          <t>ORD-11162</t>
        </is>
      </c>
      <c r="B741" s="26" t="n">
        <v>45919</v>
      </c>
      <c r="C741" s="25">
        <f>MONTH(B741)</f>
        <v/>
      </c>
      <c r="D741" s="25" t="inlineStr">
        <is>
          <t>West</t>
        </is>
      </c>
      <c r="E741" s="25" t="inlineStr">
        <is>
          <t>Technology</t>
        </is>
      </c>
      <c r="F741" s="25" t="inlineStr">
        <is>
          <t>Mechanical Keyboard</t>
        </is>
      </c>
      <c r="G741" s="25" t="n">
        <v>3</v>
      </c>
      <c r="H741" s="27" t="n">
        <v>4200</v>
      </c>
      <c r="I741" s="28" t="n">
        <v>0</v>
      </c>
      <c r="J741" s="27" t="n">
        <v>2500</v>
      </c>
      <c r="K741" s="27">
        <f>G741*H741*(1-I741)</f>
        <v/>
      </c>
      <c r="L741" s="27">
        <f>K741-G741*J741</f>
        <v/>
      </c>
    </row>
    <row r="742">
      <c r="A742" s="25" t="inlineStr">
        <is>
          <t>ORD-10082</t>
        </is>
      </c>
      <c r="B742" s="26" t="n">
        <v>45920</v>
      </c>
      <c r="C742" s="25">
        <f>MONTH(B742)</f>
        <v/>
      </c>
      <c r="D742" s="25" t="inlineStr">
        <is>
          <t>North</t>
        </is>
      </c>
      <c r="E742" s="25" t="inlineStr">
        <is>
          <t>Office Supplies</t>
        </is>
      </c>
      <c r="F742" s="25" t="inlineStr">
        <is>
          <t>Notebook Set</t>
        </is>
      </c>
      <c r="G742" s="25" t="n">
        <v>4</v>
      </c>
      <c r="H742" s="27" t="n">
        <v>450</v>
      </c>
      <c r="I742" s="28" t="n">
        <v>0.1</v>
      </c>
      <c r="J742" s="27" t="n">
        <v>190</v>
      </c>
      <c r="K742" s="27">
        <f>G742*H742*(1-I742)</f>
        <v/>
      </c>
      <c r="L742" s="27">
        <f>K742-G742*J742</f>
        <v/>
      </c>
    </row>
    <row r="743">
      <c r="A743" s="25" t="inlineStr">
        <is>
          <t>ORD-10476</t>
        </is>
      </c>
      <c r="B743" s="26" t="n">
        <v>45920</v>
      </c>
      <c r="C743" s="25">
        <f>MONTH(B743)</f>
        <v/>
      </c>
      <c r="D743" s="25" t="inlineStr">
        <is>
          <t>West</t>
        </is>
      </c>
      <c r="E743" s="25" t="inlineStr">
        <is>
          <t>Office Supplies</t>
        </is>
      </c>
      <c r="F743" s="25" t="inlineStr">
        <is>
          <t>Printer Paper Box</t>
        </is>
      </c>
      <c r="G743" s="25" t="n">
        <v>6</v>
      </c>
      <c r="H743" s="27" t="n">
        <v>1600</v>
      </c>
      <c r="I743" s="28" t="n">
        <v>0.1</v>
      </c>
      <c r="J743" s="27" t="n">
        <v>1050</v>
      </c>
      <c r="K743" s="27">
        <f>G743*H743*(1-I743)</f>
        <v/>
      </c>
      <c r="L743" s="27">
        <f>K743-G743*J743</f>
        <v/>
      </c>
    </row>
    <row r="744">
      <c r="A744" s="25" t="inlineStr">
        <is>
          <t>ORD-10650</t>
        </is>
      </c>
      <c r="B744" s="26" t="n">
        <v>45920</v>
      </c>
      <c r="C744" s="25">
        <f>MONTH(B744)</f>
        <v/>
      </c>
      <c r="D744" s="25" t="inlineStr">
        <is>
          <t>West</t>
        </is>
      </c>
      <c r="E744" s="25" t="inlineStr">
        <is>
          <t>Office Supplies</t>
        </is>
      </c>
      <c r="F744" s="25" t="inlineStr">
        <is>
          <t>Desk Organizer</t>
        </is>
      </c>
      <c r="G744" s="25" t="n">
        <v>5</v>
      </c>
      <c r="H744" s="27" t="n">
        <v>850</v>
      </c>
      <c r="I744" s="28" t="n">
        <v>0.15</v>
      </c>
      <c r="J744" s="27" t="n">
        <v>420</v>
      </c>
      <c r="K744" s="27">
        <f>G744*H744*(1-I744)</f>
        <v/>
      </c>
      <c r="L744" s="27">
        <f>K744-G744*J744</f>
        <v/>
      </c>
    </row>
    <row r="745">
      <c r="A745" s="25" t="inlineStr">
        <is>
          <t>ORD-10790</t>
        </is>
      </c>
      <c r="B745" s="26" t="n">
        <v>45920</v>
      </c>
      <c r="C745" s="25">
        <f>MONTH(B745)</f>
        <v/>
      </c>
      <c r="D745" s="25" t="inlineStr">
        <is>
          <t>East</t>
        </is>
      </c>
      <c r="E745" s="25" t="inlineStr">
        <is>
          <t>Office Supplies</t>
        </is>
      </c>
      <c r="F745" s="25" t="inlineStr">
        <is>
          <t>Printer Paper Box</t>
        </is>
      </c>
      <c r="G745" s="25" t="n">
        <v>1</v>
      </c>
      <c r="H745" s="27" t="n">
        <v>1600</v>
      </c>
      <c r="I745" s="28" t="n">
        <v>0.05</v>
      </c>
      <c r="J745" s="27" t="n">
        <v>1050</v>
      </c>
      <c r="K745" s="27">
        <f>G745*H745*(1-I745)</f>
        <v/>
      </c>
      <c r="L745" s="27">
        <f>K745-G745*J745</f>
        <v/>
      </c>
    </row>
    <row r="746">
      <c r="A746" s="25" t="inlineStr">
        <is>
          <t>ORD-10917</t>
        </is>
      </c>
      <c r="B746" s="26" t="n">
        <v>45920</v>
      </c>
      <c r="C746" s="25">
        <f>MONTH(B746)</f>
        <v/>
      </c>
      <c r="D746" s="25" t="inlineStr">
        <is>
          <t>North</t>
        </is>
      </c>
      <c r="E746" s="25" t="inlineStr">
        <is>
          <t>Office Supplies</t>
        </is>
      </c>
      <c r="F746" s="25" t="inlineStr">
        <is>
          <t>Desk Organizer</t>
        </is>
      </c>
      <c r="G746" s="25" t="n">
        <v>5</v>
      </c>
      <c r="H746" s="27" t="n">
        <v>850</v>
      </c>
      <c r="I746" s="28" t="n">
        <v>0.15</v>
      </c>
      <c r="J746" s="27" t="n">
        <v>420</v>
      </c>
      <c r="K746" s="27">
        <f>G746*H746*(1-I746)</f>
        <v/>
      </c>
      <c r="L746" s="27">
        <f>K746-G746*J746</f>
        <v/>
      </c>
    </row>
    <row r="747">
      <c r="A747" s="25" t="inlineStr">
        <is>
          <t>ORD-10949</t>
        </is>
      </c>
      <c r="B747" s="26" t="n">
        <v>45920</v>
      </c>
      <c r="C747" s="25">
        <f>MONTH(B747)</f>
        <v/>
      </c>
      <c r="D747" s="25" t="inlineStr">
        <is>
          <t>South</t>
        </is>
      </c>
      <c r="E747" s="25" t="inlineStr">
        <is>
          <t>Technology</t>
        </is>
      </c>
      <c r="F747" s="25" t="inlineStr">
        <is>
          <t>Wireless Mouse</t>
        </is>
      </c>
      <c r="G747" s="25" t="n">
        <v>5</v>
      </c>
      <c r="H747" s="27" t="n">
        <v>1200</v>
      </c>
      <c r="I747" s="28" t="n">
        <v>0.05</v>
      </c>
      <c r="J747" s="27" t="n">
        <v>650</v>
      </c>
      <c r="K747" s="27">
        <f>G747*H747*(1-I747)</f>
        <v/>
      </c>
      <c r="L747" s="27">
        <f>K747-G747*J747</f>
        <v/>
      </c>
    </row>
    <row r="748">
      <c r="A748" s="25" t="inlineStr">
        <is>
          <t>ORD-10273</t>
        </is>
      </c>
      <c r="B748" s="26" t="n">
        <v>45921</v>
      </c>
      <c r="C748" s="25">
        <f>MONTH(B748)</f>
        <v/>
      </c>
      <c r="D748" s="25" t="inlineStr">
        <is>
          <t>West</t>
        </is>
      </c>
      <c r="E748" s="25" t="inlineStr">
        <is>
          <t>Technology</t>
        </is>
      </c>
      <c r="F748" s="25" t="inlineStr">
        <is>
          <t>Monitor 24"</t>
        </is>
      </c>
      <c r="G748" s="25" t="n">
        <v>1</v>
      </c>
      <c r="H748" s="27" t="n">
        <v>11500</v>
      </c>
      <c r="I748" s="28" t="n">
        <v>0.05</v>
      </c>
      <c r="J748" s="27" t="n">
        <v>8200</v>
      </c>
      <c r="K748" s="27">
        <f>G748*H748*(1-I748)</f>
        <v/>
      </c>
      <c r="L748" s="27">
        <f>K748-G748*J748</f>
        <v/>
      </c>
    </row>
    <row r="749">
      <c r="A749" s="25" t="inlineStr">
        <is>
          <t>ORD-10409</t>
        </is>
      </c>
      <c r="B749" s="26" t="n">
        <v>45921</v>
      </c>
      <c r="C749" s="25">
        <f>MONTH(B749)</f>
        <v/>
      </c>
      <c r="D749" s="25" t="inlineStr">
        <is>
          <t>North</t>
        </is>
      </c>
      <c r="E749" s="25" t="inlineStr">
        <is>
          <t>Office Supplies</t>
        </is>
      </c>
      <c r="F749" s="25" t="inlineStr">
        <is>
          <t>Notebook Set</t>
        </is>
      </c>
      <c r="G749" s="25" t="n">
        <v>6</v>
      </c>
      <c r="H749" s="27" t="n">
        <v>450</v>
      </c>
      <c r="I749" s="28" t="n">
        <v>0</v>
      </c>
      <c r="J749" s="27" t="n">
        <v>190</v>
      </c>
      <c r="K749" s="27">
        <f>G749*H749*(1-I749)</f>
        <v/>
      </c>
      <c r="L749" s="27">
        <f>K749-G749*J749</f>
        <v/>
      </c>
    </row>
    <row r="750">
      <c r="A750" s="25" t="inlineStr">
        <is>
          <t>ORD-10966</t>
        </is>
      </c>
      <c r="B750" s="26" t="n">
        <v>45921</v>
      </c>
      <c r="C750" s="25">
        <f>MONTH(B750)</f>
        <v/>
      </c>
      <c r="D750" s="25" t="inlineStr">
        <is>
          <t>South</t>
        </is>
      </c>
      <c r="E750" s="25" t="inlineStr">
        <is>
          <t>Office Supplies</t>
        </is>
      </c>
      <c r="F750" s="25" t="inlineStr">
        <is>
          <t>Printer Paper Box</t>
        </is>
      </c>
      <c r="G750" s="25" t="n">
        <v>5</v>
      </c>
      <c r="H750" s="27" t="n">
        <v>1600</v>
      </c>
      <c r="I750" s="28" t="n">
        <v>0</v>
      </c>
      <c r="J750" s="27" t="n">
        <v>1050</v>
      </c>
      <c r="K750" s="27">
        <f>G750*H750*(1-I750)</f>
        <v/>
      </c>
      <c r="L750" s="27">
        <f>K750-G750*J750</f>
        <v/>
      </c>
    </row>
    <row r="751">
      <c r="A751" s="25" t="inlineStr">
        <is>
          <t>ORD-10980</t>
        </is>
      </c>
      <c r="B751" s="26" t="n">
        <v>45921</v>
      </c>
      <c r="C751" s="25">
        <f>MONTH(B751)</f>
        <v/>
      </c>
      <c r="D751" s="25" t="inlineStr">
        <is>
          <t>East</t>
        </is>
      </c>
      <c r="E751" s="25" t="inlineStr">
        <is>
          <t>Accessories</t>
        </is>
      </c>
      <c r="F751" s="25" t="inlineStr">
        <is>
          <t>USB-C Hub</t>
        </is>
      </c>
      <c r="G751" s="25" t="n">
        <v>2</v>
      </c>
      <c r="H751" s="27" t="n">
        <v>1800</v>
      </c>
      <c r="I751" s="28" t="n">
        <v>0</v>
      </c>
      <c r="J751" s="27" t="n">
        <v>980</v>
      </c>
      <c r="K751" s="27">
        <f>G751*H751*(1-I751)</f>
        <v/>
      </c>
      <c r="L751" s="27">
        <f>K751-G751*J751</f>
        <v/>
      </c>
    </row>
    <row r="752">
      <c r="A752" s="25" t="inlineStr">
        <is>
          <t>ORD-11081</t>
        </is>
      </c>
      <c r="B752" s="26" t="n">
        <v>45921</v>
      </c>
      <c r="C752" s="25">
        <f>MONTH(B752)</f>
        <v/>
      </c>
      <c r="D752" s="25" t="inlineStr">
        <is>
          <t>South</t>
        </is>
      </c>
      <c r="E752" s="25" t="inlineStr">
        <is>
          <t>Office Supplies</t>
        </is>
      </c>
      <c r="F752" s="25" t="inlineStr">
        <is>
          <t>Printer Paper Box</t>
        </is>
      </c>
      <c r="G752" s="25" t="n">
        <v>5</v>
      </c>
      <c r="H752" s="27" t="n">
        <v>1600</v>
      </c>
      <c r="I752" s="28" t="n">
        <v>0.05</v>
      </c>
      <c r="J752" s="27" t="n">
        <v>1050</v>
      </c>
      <c r="K752" s="27">
        <f>G752*H752*(1-I752)</f>
        <v/>
      </c>
      <c r="L752" s="27">
        <f>K752-G752*J752</f>
        <v/>
      </c>
    </row>
    <row r="753">
      <c r="A753" s="25" t="inlineStr">
        <is>
          <t>ORD-11134</t>
        </is>
      </c>
      <c r="B753" s="26" t="n">
        <v>45921</v>
      </c>
      <c r="C753" s="25">
        <f>MONTH(B753)</f>
        <v/>
      </c>
      <c r="D753" s="25" t="inlineStr">
        <is>
          <t>West</t>
        </is>
      </c>
      <c r="E753" s="25" t="inlineStr">
        <is>
          <t>Office Supplies</t>
        </is>
      </c>
      <c r="F753" s="25" t="inlineStr">
        <is>
          <t>Desk Organizer</t>
        </is>
      </c>
      <c r="G753" s="25" t="n">
        <v>1</v>
      </c>
      <c r="H753" s="27" t="n">
        <v>850</v>
      </c>
      <c r="I753" s="28" t="n">
        <v>0</v>
      </c>
      <c r="J753" s="27" t="n">
        <v>420</v>
      </c>
      <c r="K753" s="27">
        <f>G753*H753*(1-I753)</f>
        <v/>
      </c>
      <c r="L753" s="27">
        <f>K753-G753*J753</f>
        <v/>
      </c>
    </row>
    <row r="754">
      <c r="A754" s="25" t="inlineStr">
        <is>
          <t>ORD-10243</t>
        </is>
      </c>
      <c r="B754" s="26" t="n">
        <v>45922</v>
      </c>
      <c r="C754" s="25">
        <f>MONTH(B754)</f>
        <v/>
      </c>
      <c r="D754" s="25" t="inlineStr">
        <is>
          <t>South</t>
        </is>
      </c>
      <c r="E754" s="25" t="inlineStr">
        <is>
          <t>Accessories</t>
        </is>
      </c>
      <c r="F754" s="25" t="inlineStr">
        <is>
          <t>Webcam</t>
        </is>
      </c>
      <c r="G754" s="25" t="n">
        <v>3</v>
      </c>
      <c r="H754" s="27" t="n">
        <v>3200</v>
      </c>
      <c r="I754" s="28" t="n">
        <v>0</v>
      </c>
      <c r="J754" s="27" t="n">
        <v>1900</v>
      </c>
      <c r="K754" s="27">
        <f>G754*H754*(1-I754)</f>
        <v/>
      </c>
      <c r="L754" s="27">
        <f>K754-G754*J754</f>
        <v/>
      </c>
    </row>
    <row r="755">
      <c r="A755" s="25" t="inlineStr">
        <is>
          <t>ORD-10586</t>
        </is>
      </c>
      <c r="B755" s="26" t="n">
        <v>45922</v>
      </c>
      <c r="C755" s="25">
        <f>MONTH(B755)</f>
        <v/>
      </c>
      <c r="D755" s="25" t="inlineStr">
        <is>
          <t>South</t>
        </is>
      </c>
      <c r="E755" s="25" t="inlineStr">
        <is>
          <t>Accessories</t>
        </is>
      </c>
      <c r="F755" s="25" t="inlineStr">
        <is>
          <t>Headphones</t>
        </is>
      </c>
      <c r="G755" s="25" t="n">
        <v>2</v>
      </c>
      <c r="H755" s="27" t="n">
        <v>4500</v>
      </c>
      <c r="I755" s="28" t="n">
        <v>0</v>
      </c>
      <c r="J755" s="27" t="n">
        <v>2600</v>
      </c>
      <c r="K755" s="27">
        <f>G755*H755*(1-I755)</f>
        <v/>
      </c>
      <c r="L755" s="27">
        <f>K755-G755*J755</f>
        <v/>
      </c>
    </row>
    <row r="756">
      <c r="A756" s="25" t="inlineStr">
        <is>
          <t>ORD-10588</t>
        </is>
      </c>
      <c r="B756" s="26" t="n">
        <v>45922</v>
      </c>
      <c r="C756" s="25">
        <f>MONTH(B756)</f>
        <v/>
      </c>
      <c r="D756" s="25" t="inlineStr">
        <is>
          <t>West</t>
        </is>
      </c>
      <c r="E756" s="25" t="inlineStr">
        <is>
          <t>Office Supplies</t>
        </is>
      </c>
      <c r="F756" s="25" t="inlineStr">
        <is>
          <t>Notebook Set</t>
        </is>
      </c>
      <c r="G756" s="25" t="n">
        <v>1</v>
      </c>
      <c r="H756" s="27" t="n">
        <v>450</v>
      </c>
      <c r="I756" s="28" t="n">
        <v>0</v>
      </c>
      <c r="J756" s="27" t="n">
        <v>190</v>
      </c>
      <c r="K756" s="27">
        <f>G756*H756*(1-I756)</f>
        <v/>
      </c>
      <c r="L756" s="27">
        <f>K756-G756*J756</f>
        <v/>
      </c>
    </row>
    <row r="757">
      <c r="A757" s="25" t="inlineStr">
        <is>
          <t>ORD-10942</t>
        </is>
      </c>
      <c r="B757" s="26" t="n">
        <v>45922</v>
      </c>
      <c r="C757" s="25">
        <f>MONTH(B757)</f>
        <v/>
      </c>
      <c r="D757" s="25" t="inlineStr">
        <is>
          <t>East</t>
        </is>
      </c>
      <c r="E757" s="25" t="inlineStr">
        <is>
          <t>Accessories</t>
        </is>
      </c>
      <c r="F757" s="25" t="inlineStr">
        <is>
          <t>USB-C Hub</t>
        </is>
      </c>
      <c r="G757" s="25" t="n">
        <v>2</v>
      </c>
      <c r="H757" s="27" t="n">
        <v>1800</v>
      </c>
      <c r="I757" s="28" t="n">
        <v>0.05</v>
      </c>
      <c r="J757" s="27" t="n">
        <v>980</v>
      </c>
      <c r="K757" s="27">
        <f>G757*H757*(1-I757)</f>
        <v/>
      </c>
      <c r="L757" s="27">
        <f>K757-G757*J757</f>
        <v/>
      </c>
    </row>
    <row r="758">
      <c r="A758" s="25" t="inlineStr">
        <is>
          <t>ORD-11058</t>
        </is>
      </c>
      <c r="B758" s="26" t="n">
        <v>45922</v>
      </c>
      <c r="C758" s="25">
        <f>MONTH(B758)</f>
        <v/>
      </c>
      <c r="D758" s="25" t="inlineStr">
        <is>
          <t>South</t>
        </is>
      </c>
      <c r="E758" s="25" t="inlineStr">
        <is>
          <t>Technology</t>
        </is>
      </c>
      <c r="F758" s="25" t="inlineStr">
        <is>
          <t>Wireless Mouse</t>
        </is>
      </c>
      <c r="G758" s="25" t="n">
        <v>2</v>
      </c>
      <c r="H758" s="27" t="n">
        <v>1200</v>
      </c>
      <c r="I758" s="28" t="n">
        <v>0</v>
      </c>
      <c r="J758" s="27" t="n">
        <v>650</v>
      </c>
      <c r="K758" s="27">
        <f>G758*H758*(1-I758)</f>
        <v/>
      </c>
      <c r="L758" s="27">
        <f>K758-G758*J758</f>
        <v/>
      </c>
    </row>
    <row r="759">
      <c r="A759" s="25" t="inlineStr">
        <is>
          <t>ORD-11167</t>
        </is>
      </c>
      <c r="B759" s="26" t="n">
        <v>45922</v>
      </c>
      <c r="C759" s="25">
        <f>MONTH(B759)</f>
        <v/>
      </c>
      <c r="D759" s="25" t="inlineStr">
        <is>
          <t>East</t>
        </is>
      </c>
      <c r="E759" s="25" t="inlineStr">
        <is>
          <t>Office Supplies</t>
        </is>
      </c>
      <c r="F759" s="25" t="inlineStr">
        <is>
          <t>Desk Organizer</t>
        </is>
      </c>
      <c r="G759" s="25" t="n">
        <v>3</v>
      </c>
      <c r="H759" s="27" t="n">
        <v>850</v>
      </c>
      <c r="I759" s="28" t="n">
        <v>0.2</v>
      </c>
      <c r="J759" s="27" t="n">
        <v>420</v>
      </c>
      <c r="K759" s="27">
        <f>G759*H759*(1-I759)</f>
        <v/>
      </c>
      <c r="L759" s="27">
        <f>K759-G759*J759</f>
        <v/>
      </c>
    </row>
    <row r="760">
      <c r="A760" s="25" t="inlineStr">
        <is>
          <t>ORD-10377</t>
        </is>
      </c>
      <c r="B760" s="26" t="n">
        <v>45923</v>
      </c>
      <c r="C760" s="25">
        <f>MONTH(B760)</f>
        <v/>
      </c>
      <c r="D760" s="25" t="inlineStr">
        <is>
          <t>South</t>
        </is>
      </c>
      <c r="E760" s="25" t="inlineStr">
        <is>
          <t>Technology</t>
        </is>
      </c>
      <c r="F760" s="25" t="inlineStr">
        <is>
          <t>Mechanical Keyboard</t>
        </is>
      </c>
      <c r="G760" s="25" t="n">
        <v>2</v>
      </c>
      <c r="H760" s="27" t="n">
        <v>4200</v>
      </c>
      <c r="I760" s="28" t="n">
        <v>0.2</v>
      </c>
      <c r="J760" s="27" t="n">
        <v>2500</v>
      </c>
      <c r="K760" s="27">
        <f>G760*H760*(1-I760)</f>
        <v/>
      </c>
      <c r="L760" s="27">
        <f>K760-G760*J760</f>
        <v/>
      </c>
    </row>
    <row r="761">
      <c r="A761" s="25" t="inlineStr">
        <is>
          <t>ORD-10456</t>
        </is>
      </c>
      <c r="B761" s="26" t="n">
        <v>45923</v>
      </c>
      <c r="C761" s="25">
        <f>MONTH(B761)</f>
        <v/>
      </c>
      <c r="D761" s="25" t="inlineStr">
        <is>
          <t>West</t>
        </is>
      </c>
      <c r="E761" s="25" t="inlineStr">
        <is>
          <t>Technology</t>
        </is>
      </c>
      <c r="F761" s="25" t="inlineStr">
        <is>
          <t>Mechanical Keyboard</t>
        </is>
      </c>
      <c r="G761" s="25" t="n">
        <v>2</v>
      </c>
      <c r="H761" s="27" t="n">
        <v>4200</v>
      </c>
      <c r="I761" s="28" t="n">
        <v>0</v>
      </c>
      <c r="J761" s="27" t="n">
        <v>2500</v>
      </c>
      <c r="K761" s="27">
        <f>G761*H761*(1-I761)</f>
        <v/>
      </c>
      <c r="L761" s="27">
        <f>K761-G761*J761</f>
        <v/>
      </c>
    </row>
    <row r="762">
      <c r="A762" s="25" t="inlineStr">
        <is>
          <t>ORD-10558</t>
        </is>
      </c>
      <c r="B762" s="26" t="n">
        <v>45923</v>
      </c>
      <c r="C762" s="25">
        <f>MONTH(B762)</f>
        <v/>
      </c>
      <c r="D762" s="25" t="inlineStr">
        <is>
          <t>East</t>
        </is>
      </c>
      <c r="E762" s="25" t="inlineStr">
        <is>
          <t>Office Supplies</t>
        </is>
      </c>
      <c r="F762" s="25" t="inlineStr">
        <is>
          <t>Printer Paper Box</t>
        </is>
      </c>
      <c r="G762" s="25" t="n">
        <v>2</v>
      </c>
      <c r="H762" s="27" t="n">
        <v>1600</v>
      </c>
      <c r="I762" s="28" t="n">
        <v>0</v>
      </c>
      <c r="J762" s="27" t="n">
        <v>1050</v>
      </c>
      <c r="K762" s="27">
        <f>G762*H762*(1-I762)</f>
        <v/>
      </c>
      <c r="L762" s="27">
        <f>K762-G762*J762</f>
        <v/>
      </c>
    </row>
    <row r="763">
      <c r="A763" s="25" t="inlineStr">
        <is>
          <t>ORD-10682</t>
        </is>
      </c>
      <c r="B763" s="26" t="n">
        <v>45923</v>
      </c>
      <c r="C763" s="25">
        <f>MONTH(B763)</f>
        <v/>
      </c>
      <c r="D763" s="25" t="inlineStr">
        <is>
          <t>North</t>
        </is>
      </c>
      <c r="E763" s="25" t="inlineStr">
        <is>
          <t>Office Supplies</t>
        </is>
      </c>
      <c r="F763" s="25" t="inlineStr">
        <is>
          <t>Printer Paper Box</t>
        </is>
      </c>
      <c r="G763" s="25" t="n">
        <v>4</v>
      </c>
      <c r="H763" s="27" t="n">
        <v>1600</v>
      </c>
      <c r="I763" s="28" t="n">
        <v>0.15</v>
      </c>
      <c r="J763" s="27" t="n">
        <v>1050</v>
      </c>
      <c r="K763" s="27">
        <f>G763*H763*(1-I763)</f>
        <v/>
      </c>
      <c r="L763" s="27">
        <f>K763-G763*J763</f>
        <v/>
      </c>
    </row>
    <row r="764">
      <c r="A764" s="25" t="inlineStr">
        <is>
          <t>ORD-10715</t>
        </is>
      </c>
      <c r="B764" s="26" t="n">
        <v>45923</v>
      </c>
      <c r="C764" s="25">
        <f>MONTH(B764)</f>
        <v/>
      </c>
      <c r="D764" s="25" t="inlineStr">
        <is>
          <t>East</t>
        </is>
      </c>
      <c r="E764" s="25" t="inlineStr">
        <is>
          <t>Accessories</t>
        </is>
      </c>
      <c r="F764" s="25" t="inlineStr">
        <is>
          <t>Webcam</t>
        </is>
      </c>
      <c r="G764" s="25" t="n">
        <v>3</v>
      </c>
      <c r="H764" s="27" t="n">
        <v>3200</v>
      </c>
      <c r="I764" s="28" t="n">
        <v>0</v>
      </c>
      <c r="J764" s="27" t="n">
        <v>1900</v>
      </c>
      <c r="K764" s="27">
        <f>G764*H764*(1-I764)</f>
        <v/>
      </c>
      <c r="L764" s="27">
        <f>K764-G764*J764</f>
        <v/>
      </c>
    </row>
    <row r="765">
      <c r="A765" s="25" t="inlineStr">
        <is>
          <t>ORD-10437</t>
        </is>
      </c>
      <c r="B765" s="26" t="n">
        <v>45924</v>
      </c>
      <c r="C765" s="25">
        <f>MONTH(B765)</f>
        <v/>
      </c>
      <c r="D765" s="25" t="inlineStr">
        <is>
          <t>South</t>
        </is>
      </c>
      <c r="E765" s="25" t="inlineStr">
        <is>
          <t>Office Supplies</t>
        </is>
      </c>
      <c r="F765" s="25" t="inlineStr">
        <is>
          <t>Notebook Set</t>
        </is>
      </c>
      <c r="G765" s="25" t="n">
        <v>7</v>
      </c>
      <c r="H765" s="27" t="n">
        <v>450</v>
      </c>
      <c r="I765" s="28" t="n">
        <v>0</v>
      </c>
      <c r="J765" s="27" t="n">
        <v>190</v>
      </c>
      <c r="K765" s="27">
        <f>G765*H765*(1-I765)</f>
        <v/>
      </c>
      <c r="L765" s="27">
        <f>K765-G765*J765</f>
        <v/>
      </c>
    </row>
    <row r="766">
      <c r="A766" s="25" t="inlineStr">
        <is>
          <t>ORD-10563</t>
        </is>
      </c>
      <c r="B766" s="26" t="n">
        <v>45924</v>
      </c>
      <c r="C766" s="25">
        <f>MONTH(B766)</f>
        <v/>
      </c>
      <c r="D766" s="25" t="inlineStr">
        <is>
          <t>South</t>
        </is>
      </c>
      <c r="E766" s="25" t="inlineStr">
        <is>
          <t>Office Supplies</t>
        </is>
      </c>
      <c r="F766" s="25" t="inlineStr">
        <is>
          <t>Printer Paper Box</t>
        </is>
      </c>
      <c r="G766" s="25" t="n">
        <v>5</v>
      </c>
      <c r="H766" s="27" t="n">
        <v>1600</v>
      </c>
      <c r="I766" s="28" t="n">
        <v>0.1</v>
      </c>
      <c r="J766" s="27" t="n">
        <v>1050</v>
      </c>
      <c r="K766" s="27">
        <f>G766*H766*(1-I766)</f>
        <v/>
      </c>
      <c r="L766" s="27">
        <f>K766-G766*J766</f>
        <v/>
      </c>
    </row>
    <row r="767">
      <c r="A767" s="25" t="inlineStr">
        <is>
          <t>ORD-11177</t>
        </is>
      </c>
      <c r="B767" s="26" t="n">
        <v>45924</v>
      </c>
      <c r="C767" s="25">
        <f>MONTH(B767)</f>
        <v/>
      </c>
      <c r="D767" s="25" t="inlineStr">
        <is>
          <t>South</t>
        </is>
      </c>
      <c r="E767" s="25" t="inlineStr">
        <is>
          <t>Accessories</t>
        </is>
      </c>
      <c r="F767" s="25" t="inlineStr">
        <is>
          <t>Webcam</t>
        </is>
      </c>
      <c r="G767" s="25" t="n">
        <v>3</v>
      </c>
      <c r="H767" s="27" t="n">
        <v>3200</v>
      </c>
      <c r="I767" s="28" t="n">
        <v>0</v>
      </c>
      <c r="J767" s="27" t="n">
        <v>1900</v>
      </c>
      <c r="K767" s="27">
        <f>G767*H767*(1-I767)</f>
        <v/>
      </c>
      <c r="L767" s="27">
        <f>K767-G767*J767</f>
        <v/>
      </c>
    </row>
    <row r="768">
      <c r="A768" s="25" t="inlineStr">
        <is>
          <t>ORD-10074</t>
        </is>
      </c>
      <c r="B768" s="26" t="n">
        <v>45925</v>
      </c>
      <c r="C768" s="25">
        <f>MONTH(B768)</f>
        <v/>
      </c>
      <c r="D768" s="25" t="inlineStr">
        <is>
          <t>South</t>
        </is>
      </c>
      <c r="E768" s="25" t="inlineStr">
        <is>
          <t>Office Supplies</t>
        </is>
      </c>
      <c r="F768" s="25" t="inlineStr">
        <is>
          <t>Notebook Set</t>
        </is>
      </c>
      <c r="G768" s="25" t="n">
        <v>2</v>
      </c>
      <c r="H768" s="27" t="n">
        <v>450</v>
      </c>
      <c r="I768" s="28" t="n">
        <v>0</v>
      </c>
      <c r="J768" s="27" t="n">
        <v>190</v>
      </c>
      <c r="K768" s="27">
        <f>G768*H768*(1-I768)</f>
        <v/>
      </c>
      <c r="L768" s="27">
        <f>K768-G768*J768</f>
        <v/>
      </c>
    </row>
    <row r="769">
      <c r="A769" s="25" t="inlineStr">
        <is>
          <t>ORD-10363</t>
        </is>
      </c>
      <c r="B769" s="26" t="n">
        <v>45925</v>
      </c>
      <c r="C769" s="25">
        <f>MONTH(B769)</f>
        <v/>
      </c>
      <c r="D769" s="25" t="inlineStr">
        <is>
          <t>West</t>
        </is>
      </c>
      <c r="E769" s="25" t="inlineStr">
        <is>
          <t>Accessories</t>
        </is>
      </c>
      <c r="F769" s="25" t="inlineStr">
        <is>
          <t>USB-C Hub</t>
        </is>
      </c>
      <c r="G769" s="25" t="n">
        <v>1</v>
      </c>
      <c r="H769" s="27" t="n">
        <v>1800</v>
      </c>
      <c r="I769" s="28" t="n">
        <v>0</v>
      </c>
      <c r="J769" s="27" t="n">
        <v>980</v>
      </c>
      <c r="K769" s="27">
        <f>G769*H769*(1-I769)</f>
        <v/>
      </c>
      <c r="L769" s="27">
        <f>K769-G769*J769</f>
        <v/>
      </c>
    </row>
    <row r="770">
      <c r="A770" s="25" t="inlineStr">
        <is>
          <t>ORD-10465</t>
        </is>
      </c>
      <c r="B770" s="26" t="n">
        <v>45925</v>
      </c>
      <c r="C770" s="25">
        <f>MONTH(B770)</f>
        <v/>
      </c>
      <c r="D770" s="25" t="inlineStr">
        <is>
          <t>North</t>
        </is>
      </c>
      <c r="E770" s="25" t="inlineStr">
        <is>
          <t>Technology</t>
        </is>
      </c>
      <c r="F770" s="25" t="inlineStr">
        <is>
          <t>Mechanical Keyboard</t>
        </is>
      </c>
      <c r="G770" s="25" t="n">
        <v>2</v>
      </c>
      <c r="H770" s="27" t="n">
        <v>4200</v>
      </c>
      <c r="I770" s="28" t="n">
        <v>0</v>
      </c>
      <c r="J770" s="27" t="n">
        <v>2500</v>
      </c>
      <c r="K770" s="27">
        <f>G770*H770*(1-I770)</f>
        <v/>
      </c>
      <c r="L770" s="27">
        <f>K770-G770*J770</f>
        <v/>
      </c>
    </row>
    <row r="771">
      <c r="A771" s="25" t="inlineStr">
        <is>
          <t>ORD-10578</t>
        </is>
      </c>
      <c r="B771" s="26" t="n">
        <v>45925</v>
      </c>
      <c r="C771" s="25">
        <f>MONTH(B771)</f>
        <v/>
      </c>
      <c r="D771" s="25" t="inlineStr">
        <is>
          <t>South</t>
        </is>
      </c>
      <c r="E771" s="25" t="inlineStr">
        <is>
          <t>Office Supplies</t>
        </is>
      </c>
      <c r="F771" s="25" t="inlineStr">
        <is>
          <t>Desk Organizer</t>
        </is>
      </c>
      <c r="G771" s="25" t="n">
        <v>2</v>
      </c>
      <c r="H771" s="27" t="n">
        <v>850</v>
      </c>
      <c r="I771" s="28" t="n">
        <v>0.15</v>
      </c>
      <c r="J771" s="27" t="n">
        <v>420</v>
      </c>
      <c r="K771" s="27">
        <f>G771*H771*(1-I771)</f>
        <v/>
      </c>
      <c r="L771" s="27">
        <f>K771-G771*J771</f>
        <v/>
      </c>
    </row>
    <row r="772">
      <c r="A772" s="25" t="inlineStr">
        <is>
          <t>ORD-10592</t>
        </is>
      </c>
      <c r="B772" s="26" t="n">
        <v>45925</v>
      </c>
      <c r="C772" s="25">
        <f>MONTH(B772)</f>
        <v/>
      </c>
      <c r="D772" s="25" t="inlineStr">
        <is>
          <t>North</t>
        </is>
      </c>
      <c r="E772" s="25" t="inlineStr">
        <is>
          <t>Accessories</t>
        </is>
      </c>
      <c r="F772" s="25" t="inlineStr">
        <is>
          <t>Headphones</t>
        </is>
      </c>
      <c r="G772" s="25" t="n">
        <v>3</v>
      </c>
      <c r="H772" s="27" t="n">
        <v>4500</v>
      </c>
      <c r="I772" s="28" t="n">
        <v>0.1</v>
      </c>
      <c r="J772" s="27" t="n">
        <v>2600</v>
      </c>
      <c r="K772" s="27">
        <f>G772*H772*(1-I772)</f>
        <v/>
      </c>
      <c r="L772" s="27">
        <f>K772-G772*J772</f>
        <v/>
      </c>
    </row>
    <row r="773">
      <c r="A773" s="25" t="inlineStr">
        <is>
          <t>ORD-10910</t>
        </is>
      </c>
      <c r="B773" s="26" t="n">
        <v>45925</v>
      </c>
      <c r="C773" s="25">
        <f>MONTH(B773)</f>
        <v/>
      </c>
      <c r="D773" s="25" t="inlineStr">
        <is>
          <t>West</t>
        </is>
      </c>
      <c r="E773" s="25" t="inlineStr">
        <is>
          <t>Technology</t>
        </is>
      </c>
      <c r="F773" s="25" t="inlineStr">
        <is>
          <t>Monitor 24"</t>
        </is>
      </c>
      <c r="G773" s="25" t="n">
        <v>2</v>
      </c>
      <c r="H773" s="27" t="n">
        <v>11500</v>
      </c>
      <c r="I773" s="28" t="n">
        <v>0</v>
      </c>
      <c r="J773" s="27" t="n">
        <v>8200</v>
      </c>
      <c r="K773" s="27">
        <f>G773*H773*(1-I773)</f>
        <v/>
      </c>
      <c r="L773" s="27">
        <f>K773-G773*J773</f>
        <v/>
      </c>
    </row>
    <row r="774">
      <c r="A774" s="25" t="inlineStr">
        <is>
          <t>ORD-11064</t>
        </is>
      </c>
      <c r="B774" s="26" t="n">
        <v>45925</v>
      </c>
      <c r="C774" s="25">
        <f>MONTH(B774)</f>
        <v/>
      </c>
      <c r="D774" s="25" t="inlineStr">
        <is>
          <t>East</t>
        </is>
      </c>
      <c r="E774" s="25" t="inlineStr">
        <is>
          <t>Technology</t>
        </is>
      </c>
      <c r="F774" s="25" t="inlineStr">
        <is>
          <t>Wireless Mouse</t>
        </is>
      </c>
      <c r="G774" s="25" t="n">
        <v>2</v>
      </c>
      <c r="H774" s="27" t="n">
        <v>1200</v>
      </c>
      <c r="I774" s="28" t="n">
        <v>0.05</v>
      </c>
      <c r="J774" s="27" t="n">
        <v>650</v>
      </c>
      <c r="K774" s="27">
        <f>G774*H774*(1-I774)</f>
        <v/>
      </c>
      <c r="L774" s="27">
        <f>K774-G774*J774</f>
        <v/>
      </c>
    </row>
    <row r="775">
      <c r="A775" s="25" t="inlineStr">
        <is>
          <t>ORD-10011</t>
        </is>
      </c>
      <c r="B775" s="26" t="n">
        <v>45926</v>
      </c>
      <c r="C775" s="25">
        <f>MONTH(B775)</f>
        <v/>
      </c>
      <c r="D775" s="25" t="inlineStr">
        <is>
          <t>South</t>
        </is>
      </c>
      <c r="E775" s="25" t="inlineStr">
        <is>
          <t>Technology</t>
        </is>
      </c>
      <c r="F775" s="25" t="inlineStr">
        <is>
          <t>Wireless Mouse</t>
        </is>
      </c>
      <c r="G775" s="25" t="n">
        <v>1</v>
      </c>
      <c r="H775" s="27" t="n">
        <v>1200</v>
      </c>
      <c r="I775" s="28" t="n">
        <v>0.2</v>
      </c>
      <c r="J775" s="27" t="n">
        <v>650</v>
      </c>
      <c r="K775" s="27">
        <f>G775*H775*(1-I775)</f>
        <v/>
      </c>
      <c r="L775" s="27">
        <f>K775-G775*J775</f>
        <v/>
      </c>
    </row>
    <row r="776">
      <c r="A776" s="25" t="inlineStr">
        <is>
          <t>ORD-10117</t>
        </is>
      </c>
      <c r="B776" s="26" t="n">
        <v>45926</v>
      </c>
      <c r="C776" s="25">
        <f>MONTH(B776)</f>
        <v/>
      </c>
      <c r="D776" s="25" t="inlineStr">
        <is>
          <t>South</t>
        </is>
      </c>
      <c r="E776" s="25" t="inlineStr">
        <is>
          <t>Office Supplies</t>
        </is>
      </c>
      <c r="F776" s="25" t="inlineStr">
        <is>
          <t>Notebook Set</t>
        </is>
      </c>
      <c r="G776" s="25" t="n">
        <v>3</v>
      </c>
      <c r="H776" s="27" t="n">
        <v>450</v>
      </c>
      <c r="I776" s="28" t="n">
        <v>0</v>
      </c>
      <c r="J776" s="27" t="n">
        <v>190</v>
      </c>
      <c r="K776" s="27">
        <f>G776*H776*(1-I776)</f>
        <v/>
      </c>
      <c r="L776" s="27">
        <f>K776-G776*J776</f>
        <v/>
      </c>
    </row>
    <row r="777">
      <c r="A777" s="25" t="inlineStr">
        <is>
          <t>ORD-10208</t>
        </is>
      </c>
      <c r="B777" s="26" t="n">
        <v>45926</v>
      </c>
      <c r="C777" s="25">
        <f>MONTH(B777)</f>
        <v/>
      </c>
      <c r="D777" s="25" t="inlineStr">
        <is>
          <t>South</t>
        </is>
      </c>
      <c r="E777" s="25" t="inlineStr">
        <is>
          <t>Office Supplies</t>
        </is>
      </c>
      <c r="F777" s="25" t="inlineStr">
        <is>
          <t>Notebook Set</t>
        </is>
      </c>
      <c r="G777" s="25" t="n">
        <v>5</v>
      </c>
      <c r="H777" s="27" t="n">
        <v>450</v>
      </c>
      <c r="I777" s="28" t="n">
        <v>0.05</v>
      </c>
      <c r="J777" s="27" t="n">
        <v>190</v>
      </c>
      <c r="K777" s="27">
        <f>G777*H777*(1-I777)</f>
        <v/>
      </c>
      <c r="L777" s="27">
        <f>K777-G777*J777</f>
        <v/>
      </c>
    </row>
    <row r="778">
      <c r="A778" s="25" t="inlineStr">
        <is>
          <t>ORD-10261</t>
        </is>
      </c>
      <c r="B778" s="26" t="n">
        <v>45926</v>
      </c>
      <c r="C778" s="25">
        <f>MONTH(B778)</f>
        <v/>
      </c>
      <c r="D778" s="25" t="inlineStr">
        <is>
          <t>East</t>
        </is>
      </c>
      <c r="E778" s="25" t="inlineStr">
        <is>
          <t>Technology</t>
        </is>
      </c>
      <c r="F778" s="25" t="inlineStr">
        <is>
          <t>Monitor 24"</t>
        </is>
      </c>
      <c r="G778" s="25" t="n">
        <v>2</v>
      </c>
      <c r="H778" s="27" t="n">
        <v>11500</v>
      </c>
      <c r="I778" s="28" t="n">
        <v>0.05</v>
      </c>
      <c r="J778" s="27" t="n">
        <v>8200</v>
      </c>
      <c r="K778" s="27">
        <f>G778*H778*(1-I778)</f>
        <v/>
      </c>
      <c r="L778" s="27">
        <f>K778-G778*J778</f>
        <v/>
      </c>
    </row>
    <row r="779">
      <c r="A779" s="25" t="inlineStr">
        <is>
          <t>ORD-10332</t>
        </is>
      </c>
      <c r="B779" s="26" t="n">
        <v>45926</v>
      </c>
      <c r="C779" s="25">
        <f>MONTH(B779)</f>
        <v/>
      </c>
      <c r="D779" s="25" t="inlineStr">
        <is>
          <t>East</t>
        </is>
      </c>
      <c r="E779" s="25" t="inlineStr">
        <is>
          <t>Technology</t>
        </is>
      </c>
      <c r="F779" s="25" t="inlineStr">
        <is>
          <t>Wireless Mouse</t>
        </is>
      </c>
      <c r="G779" s="25" t="n">
        <v>4</v>
      </c>
      <c r="H779" s="27" t="n">
        <v>1200</v>
      </c>
      <c r="I779" s="28" t="n">
        <v>0</v>
      </c>
      <c r="J779" s="27" t="n">
        <v>650</v>
      </c>
      <c r="K779" s="27">
        <f>G779*H779*(1-I779)</f>
        <v/>
      </c>
      <c r="L779" s="27">
        <f>K779-G779*J779</f>
        <v/>
      </c>
    </row>
    <row r="780">
      <c r="A780" s="25" t="inlineStr">
        <is>
          <t>ORD-10131</t>
        </is>
      </c>
      <c r="B780" s="26" t="n">
        <v>45927</v>
      </c>
      <c r="C780" s="25">
        <f>MONTH(B780)</f>
        <v/>
      </c>
      <c r="D780" s="25" t="inlineStr">
        <is>
          <t>West</t>
        </is>
      </c>
      <c r="E780" s="25" t="inlineStr">
        <is>
          <t>Accessories</t>
        </is>
      </c>
      <c r="F780" s="25" t="inlineStr">
        <is>
          <t>Headphones</t>
        </is>
      </c>
      <c r="G780" s="25" t="n">
        <v>3</v>
      </c>
      <c r="H780" s="27" t="n">
        <v>4500</v>
      </c>
      <c r="I780" s="28" t="n">
        <v>0.05</v>
      </c>
      <c r="J780" s="27" t="n">
        <v>2600</v>
      </c>
      <c r="K780" s="27">
        <f>G780*H780*(1-I780)</f>
        <v/>
      </c>
      <c r="L780" s="27">
        <f>K780-G780*J780</f>
        <v/>
      </c>
    </row>
    <row r="781">
      <c r="A781" s="25" t="inlineStr">
        <is>
          <t>ORD-10293</t>
        </is>
      </c>
      <c r="B781" s="26" t="n">
        <v>45927</v>
      </c>
      <c r="C781" s="25">
        <f>MONTH(B781)</f>
        <v/>
      </c>
      <c r="D781" s="25" t="inlineStr">
        <is>
          <t>West</t>
        </is>
      </c>
      <c r="E781" s="25" t="inlineStr">
        <is>
          <t>Technology</t>
        </is>
      </c>
      <c r="F781" s="25" t="inlineStr">
        <is>
          <t>Wireless Mouse</t>
        </is>
      </c>
      <c r="G781" s="25" t="n">
        <v>4</v>
      </c>
      <c r="H781" s="27" t="n">
        <v>1200</v>
      </c>
      <c r="I781" s="28" t="n">
        <v>0.15</v>
      </c>
      <c r="J781" s="27" t="n">
        <v>650</v>
      </c>
      <c r="K781" s="27">
        <f>G781*H781*(1-I781)</f>
        <v/>
      </c>
      <c r="L781" s="27">
        <f>K781-G781*J781</f>
        <v/>
      </c>
    </row>
    <row r="782">
      <c r="A782" s="25" t="inlineStr">
        <is>
          <t>ORD-10324</t>
        </is>
      </c>
      <c r="B782" s="26" t="n">
        <v>45927</v>
      </c>
      <c r="C782" s="25">
        <f>MONTH(B782)</f>
        <v/>
      </c>
      <c r="D782" s="25" t="inlineStr">
        <is>
          <t>South</t>
        </is>
      </c>
      <c r="E782" s="25" t="inlineStr">
        <is>
          <t>Office Supplies</t>
        </is>
      </c>
      <c r="F782" s="25" t="inlineStr">
        <is>
          <t>Desk Organizer</t>
        </is>
      </c>
      <c r="G782" s="25" t="n">
        <v>1</v>
      </c>
      <c r="H782" s="27" t="n">
        <v>850</v>
      </c>
      <c r="I782" s="28" t="n">
        <v>0</v>
      </c>
      <c r="J782" s="27" t="n">
        <v>420</v>
      </c>
      <c r="K782" s="27">
        <f>G782*H782*(1-I782)</f>
        <v/>
      </c>
      <c r="L782" s="27">
        <f>K782-G782*J782</f>
        <v/>
      </c>
    </row>
    <row r="783">
      <c r="A783" s="25" t="inlineStr">
        <is>
          <t>ORD-10618</t>
        </is>
      </c>
      <c r="B783" s="26" t="n">
        <v>45927</v>
      </c>
      <c r="C783" s="25">
        <f>MONTH(B783)</f>
        <v/>
      </c>
      <c r="D783" s="25" t="inlineStr">
        <is>
          <t>East</t>
        </is>
      </c>
      <c r="E783" s="25" t="inlineStr">
        <is>
          <t>Technology</t>
        </is>
      </c>
      <c r="F783" s="25" t="inlineStr">
        <is>
          <t>Monitor 24"</t>
        </is>
      </c>
      <c r="G783" s="25" t="n">
        <v>1</v>
      </c>
      <c r="H783" s="27" t="n">
        <v>11500</v>
      </c>
      <c r="I783" s="28" t="n">
        <v>0.2</v>
      </c>
      <c r="J783" s="27" t="n">
        <v>8200</v>
      </c>
      <c r="K783" s="27">
        <f>G783*H783*(1-I783)</f>
        <v/>
      </c>
      <c r="L783" s="27">
        <f>K783-G783*J783</f>
        <v/>
      </c>
    </row>
    <row r="784">
      <c r="A784" s="25" t="inlineStr">
        <is>
          <t>ORD-10913</t>
        </is>
      </c>
      <c r="B784" s="26" t="n">
        <v>45927</v>
      </c>
      <c r="C784" s="25">
        <f>MONTH(B784)</f>
        <v/>
      </c>
      <c r="D784" s="25" t="inlineStr">
        <is>
          <t>South</t>
        </is>
      </c>
      <c r="E784" s="25" t="inlineStr">
        <is>
          <t>Office Supplies</t>
        </is>
      </c>
      <c r="F784" s="25" t="inlineStr">
        <is>
          <t>Notebook Set</t>
        </is>
      </c>
      <c r="G784" s="25" t="n">
        <v>3</v>
      </c>
      <c r="H784" s="27" t="n">
        <v>450</v>
      </c>
      <c r="I784" s="28" t="n">
        <v>0.05</v>
      </c>
      <c r="J784" s="27" t="n">
        <v>190</v>
      </c>
      <c r="K784" s="27">
        <f>G784*H784*(1-I784)</f>
        <v/>
      </c>
      <c r="L784" s="27">
        <f>K784-G784*J784</f>
        <v/>
      </c>
    </row>
    <row r="785">
      <c r="A785" s="25" t="inlineStr">
        <is>
          <t>ORD-10939</t>
        </is>
      </c>
      <c r="B785" s="26" t="n">
        <v>45927</v>
      </c>
      <c r="C785" s="25">
        <f>MONTH(B785)</f>
        <v/>
      </c>
      <c r="D785" s="25" t="inlineStr">
        <is>
          <t>South</t>
        </is>
      </c>
      <c r="E785" s="25" t="inlineStr">
        <is>
          <t>Office Supplies</t>
        </is>
      </c>
      <c r="F785" s="25" t="inlineStr">
        <is>
          <t>Notebook Set</t>
        </is>
      </c>
      <c r="G785" s="25" t="n">
        <v>5</v>
      </c>
      <c r="H785" s="27" t="n">
        <v>450</v>
      </c>
      <c r="I785" s="28" t="n">
        <v>0</v>
      </c>
      <c r="J785" s="27" t="n">
        <v>190</v>
      </c>
      <c r="K785" s="27">
        <f>G785*H785*(1-I785)</f>
        <v/>
      </c>
      <c r="L785" s="27">
        <f>K785-G785*J785</f>
        <v/>
      </c>
    </row>
    <row r="786">
      <c r="A786" s="25" t="inlineStr">
        <is>
          <t>ORD-10015</t>
        </is>
      </c>
      <c r="B786" s="26" t="n">
        <v>45928</v>
      </c>
      <c r="C786" s="25">
        <f>MONTH(B786)</f>
        <v/>
      </c>
      <c r="D786" s="25" t="inlineStr">
        <is>
          <t>South</t>
        </is>
      </c>
      <c r="E786" s="25" t="inlineStr">
        <is>
          <t>Furniture</t>
        </is>
      </c>
      <c r="F786" s="25" t="inlineStr">
        <is>
          <t>Office Chair</t>
        </is>
      </c>
      <c r="G786" s="25" t="n">
        <v>1</v>
      </c>
      <c r="H786" s="27" t="n">
        <v>8500</v>
      </c>
      <c r="I786" s="28" t="n">
        <v>0</v>
      </c>
      <c r="J786" s="27" t="n">
        <v>5600</v>
      </c>
      <c r="K786" s="27">
        <f>G786*H786*(1-I786)</f>
        <v/>
      </c>
      <c r="L786" s="27">
        <f>K786-G786*J786</f>
        <v/>
      </c>
    </row>
    <row r="787">
      <c r="A787" s="25" t="inlineStr">
        <is>
          <t>ORD-10192</t>
        </is>
      </c>
      <c r="B787" s="26" t="n">
        <v>45928</v>
      </c>
      <c r="C787" s="25">
        <f>MONTH(B787)</f>
        <v/>
      </c>
      <c r="D787" s="25" t="inlineStr">
        <is>
          <t>West</t>
        </is>
      </c>
      <c r="E787" s="25" t="inlineStr">
        <is>
          <t>Accessories</t>
        </is>
      </c>
      <c r="F787" s="25" t="inlineStr">
        <is>
          <t>Webcam</t>
        </is>
      </c>
      <c r="G787" s="25" t="n">
        <v>2</v>
      </c>
      <c r="H787" s="27" t="n">
        <v>3200</v>
      </c>
      <c r="I787" s="28" t="n">
        <v>0</v>
      </c>
      <c r="J787" s="27" t="n">
        <v>1900</v>
      </c>
      <c r="K787" s="27">
        <f>G787*H787*(1-I787)</f>
        <v/>
      </c>
      <c r="L787" s="27">
        <f>K787-G787*J787</f>
        <v/>
      </c>
    </row>
    <row r="788">
      <c r="A788" s="25" t="inlineStr">
        <is>
          <t>ORD-10249</t>
        </is>
      </c>
      <c r="B788" s="26" t="n">
        <v>45928</v>
      </c>
      <c r="C788" s="25">
        <f>MONTH(B788)</f>
        <v/>
      </c>
      <c r="D788" s="25" t="inlineStr">
        <is>
          <t>West</t>
        </is>
      </c>
      <c r="E788" s="25" t="inlineStr">
        <is>
          <t>Furniture</t>
        </is>
      </c>
      <c r="F788" s="25" t="inlineStr">
        <is>
          <t>Standing Desk</t>
        </is>
      </c>
      <c r="G788" s="25" t="n">
        <v>2</v>
      </c>
      <c r="H788" s="27" t="n">
        <v>19500</v>
      </c>
      <c r="I788" s="28" t="n">
        <v>0.15</v>
      </c>
      <c r="J788" s="27" t="n">
        <v>13800</v>
      </c>
      <c r="K788" s="27">
        <f>G788*H788*(1-I788)</f>
        <v/>
      </c>
      <c r="L788" s="27">
        <f>K788-G788*J788</f>
        <v/>
      </c>
    </row>
    <row r="789">
      <c r="A789" s="25" t="inlineStr">
        <is>
          <t>ORD-10327</t>
        </is>
      </c>
      <c r="B789" s="26" t="n">
        <v>45928</v>
      </c>
      <c r="C789" s="25">
        <f>MONTH(B789)</f>
        <v/>
      </c>
      <c r="D789" s="25" t="inlineStr">
        <is>
          <t>West</t>
        </is>
      </c>
      <c r="E789" s="25" t="inlineStr">
        <is>
          <t>Office Supplies</t>
        </is>
      </c>
      <c r="F789" s="25" t="inlineStr">
        <is>
          <t>Desk Organizer</t>
        </is>
      </c>
      <c r="G789" s="25" t="n">
        <v>4</v>
      </c>
      <c r="H789" s="27" t="n">
        <v>850</v>
      </c>
      <c r="I789" s="28" t="n">
        <v>0</v>
      </c>
      <c r="J789" s="27" t="n">
        <v>420</v>
      </c>
      <c r="K789" s="27">
        <f>G789*H789*(1-I789)</f>
        <v/>
      </c>
      <c r="L789" s="27">
        <f>K789-G789*J789</f>
        <v/>
      </c>
    </row>
    <row r="790">
      <c r="A790" s="25" t="inlineStr">
        <is>
          <t>ORD-10457</t>
        </is>
      </c>
      <c r="B790" s="26" t="n">
        <v>45928</v>
      </c>
      <c r="C790" s="25">
        <f>MONTH(B790)</f>
        <v/>
      </c>
      <c r="D790" s="25" t="inlineStr">
        <is>
          <t>East</t>
        </is>
      </c>
      <c r="E790" s="25" t="inlineStr">
        <is>
          <t>Office Supplies</t>
        </is>
      </c>
      <c r="F790" s="25" t="inlineStr">
        <is>
          <t>Notebook Set</t>
        </is>
      </c>
      <c r="G790" s="25" t="n">
        <v>6</v>
      </c>
      <c r="H790" s="27" t="n">
        <v>450</v>
      </c>
      <c r="I790" s="28" t="n">
        <v>0.1</v>
      </c>
      <c r="J790" s="27" t="n">
        <v>190</v>
      </c>
      <c r="K790" s="27">
        <f>G790*H790*(1-I790)</f>
        <v/>
      </c>
      <c r="L790" s="27">
        <f>K790-G790*J790</f>
        <v/>
      </c>
    </row>
    <row r="791">
      <c r="A791" s="25" t="inlineStr">
        <is>
          <t>ORD-10544</t>
        </is>
      </c>
      <c r="B791" s="26" t="n">
        <v>45928</v>
      </c>
      <c r="C791" s="25">
        <f>MONTH(B791)</f>
        <v/>
      </c>
      <c r="D791" s="25" t="inlineStr">
        <is>
          <t>North</t>
        </is>
      </c>
      <c r="E791" s="25" t="inlineStr">
        <is>
          <t>Technology</t>
        </is>
      </c>
      <c r="F791" s="25" t="inlineStr">
        <is>
          <t>Wireless Mouse</t>
        </is>
      </c>
      <c r="G791" s="25" t="n">
        <v>3</v>
      </c>
      <c r="H791" s="27" t="n">
        <v>1200</v>
      </c>
      <c r="I791" s="28" t="n">
        <v>0</v>
      </c>
      <c r="J791" s="27" t="n">
        <v>650</v>
      </c>
      <c r="K791" s="27">
        <f>G791*H791*(1-I791)</f>
        <v/>
      </c>
      <c r="L791" s="27">
        <f>K791-G791*J791</f>
        <v/>
      </c>
    </row>
    <row r="792">
      <c r="A792" s="25" t="inlineStr">
        <is>
          <t>ORD-10641</t>
        </is>
      </c>
      <c r="B792" s="26" t="n">
        <v>45928</v>
      </c>
      <c r="C792" s="25">
        <f>MONTH(B792)</f>
        <v/>
      </c>
      <c r="D792" s="25" t="inlineStr">
        <is>
          <t>South</t>
        </is>
      </c>
      <c r="E792" s="25" t="inlineStr">
        <is>
          <t>Office Supplies</t>
        </is>
      </c>
      <c r="F792" s="25" t="inlineStr">
        <is>
          <t>Desk Organizer</t>
        </is>
      </c>
      <c r="G792" s="25" t="n">
        <v>5</v>
      </c>
      <c r="H792" s="27" t="n">
        <v>850</v>
      </c>
      <c r="I792" s="28" t="n">
        <v>0.2</v>
      </c>
      <c r="J792" s="27" t="n">
        <v>420</v>
      </c>
      <c r="K792" s="27">
        <f>G792*H792*(1-I792)</f>
        <v/>
      </c>
      <c r="L792" s="27">
        <f>K792-G792*J792</f>
        <v/>
      </c>
    </row>
    <row r="793">
      <c r="A793" s="25" t="inlineStr">
        <is>
          <t>ORD-10779</t>
        </is>
      </c>
      <c r="B793" s="26" t="n">
        <v>45928</v>
      </c>
      <c r="C793" s="25">
        <f>MONTH(B793)</f>
        <v/>
      </c>
      <c r="D793" s="25" t="inlineStr">
        <is>
          <t>South</t>
        </is>
      </c>
      <c r="E793" s="25" t="inlineStr">
        <is>
          <t>Office Supplies</t>
        </is>
      </c>
      <c r="F793" s="25" t="inlineStr">
        <is>
          <t>Notebook Set</t>
        </is>
      </c>
      <c r="G793" s="25" t="n">
        <v>7</v>
      </c>
      <c r="H793" s="27" t="n">
        <v>450</v>
      </c>
      <c r="I793" s="28" t="n">
        <v>0.1</v>
      </c>
      <c r="J793" s="27" t="n">
        <v>190</v>
      </c>
      <c r="K793" s="27">
        <f>G793*H793*(1-I793)</f>
        <v/>
      </c>
      <c r="L793" s="27">
        <f>K793-G793*J793</f>
        <v/>
      </c>
    </row>
    <row r="794">
      <c r="A794" s="25" t="inlineStr">
        <is>
          <t>ORD-10628</t>
        </is>
      </c>
      <c r="B794" s="26" t="n">
        <v>45931</v>
      </c>
      <c r="C794" s="25">
        <f>MONTH(B794)</f>
        <v/>
      </c>
      <c r="D794" s="25" t="inlineStr">
        <is>
          <t>North</t>
        </is>
      </c>
      <c r="E794" s="25" t="inlineStr">
        <is>
          <t>Office Supplies</t>
        </is>
      </c>
      <c r="F794" s="25" t="inlineStr">
        <is>
          <t>Notebook Set</t>
        </is>
      </c>
      <c r="G794" s="25" t="n">
        <v>1</v>
      </c>
      <c r="H794" s="27" t="n">
        <v>450</v>
      </c>
      <c r="I794" s="28" t="n">
        <v>0.15</v>
      </c>
      <c r="J794" s="27" t="n">
        <v>190</v>
      </c>
      <c r="K794" s="27">
        <f>G794*H794*(1-I794)</f>
        <v/>
      </c>
      <c r="L794" s="27">
        <f>K794-G794*J794</f>
        <v/>
      </c>
    </row>
    <row r="795">
      <c r="A795" s="25" t="inlineStr">
        <is>
          <t>ORD-10251</t>
        </is>
      </c>
      <c r="B795" s="26" t="n">
        <v>45932</v>
      </c>
      <c r="C795" s="25">
        <f>MONTH(B795)</f>
        <v/>
      </c>
      <c r="D795" s="25" t="inlineStr">
        <is>
          <t>East</t>
        </is>
      </c>
      <c r="E795" s="25" t="inlineStr">
        <is>
          <t>Office Supplies</t>
        </is>
      </c>
      <c r="F795" s="25" t="inlineStr">
        <is>
          <t>Notebook Set</t>
        </is>
      </c>
      <c r="G795" s="25" t="n">
        <v>2</v>
      </c>
      <c r="H795" s="27" t="n">
        <v>450</v>
      </c>
      <c r="I795" s="28" t="n">
        <v>0</v>
      </c>
      <c r="J795" s="27" t="n">
        <v>190</v>
      </c>
      <c r="K795" s="27">
        <f>G795*H795*(1-I795)</f>
        <v/>
      </c>
      <c r="L795" s="27">
        <f>K795-G795*J795</f>
        <v/>
      </c>
    </row>
    <row r="796">
      <c r="A796" s="25" t="inlineStr">
        <is>
          <t>ORD-10401</t>
        </is>
      </c>
      <c r="B796" s="26" t="n">
        <v>45932</v>
      </c>
      <c r="C796" s="25">
        <f>MONTH(B796)</f>
        <v/>
      </c>
      <c r="D796" s="25" t="inlineStr">
        <is>
          <t>East</t>
        </is>
      </c>
      <c r="E796" s="25" t="inlineStr">
        <is>
          <t>Technology</t>
        </is>
      </c>
      <c r="F796" s="25" t="inlineStr">
        <is>
          <t>Wireless Mouse</t>
        </is>
      </c>
      <c r="G796" s="25" t="n">
        <v>4</v>
      </c>
      <c r="H796" s="27" t="n">
        <v>1200</v>
      </c>
      <c r="I796" s="28" t="n">
        <v>0.1</v>
      </c>
      <c r="J796" s="27" t="n">
        <v>650</v>
      </c>
      <c r="K796" s="27">
        <f>G796*H796*(1-I796)</f>
        <v/>
      </c>
      <c r="L796" s="27">
        <f>K796-G796*J796</f>
        <v/>
      </c>
    </row>
    <row r="797">
      <c r="A797" s="25" t="inlineStr">
        <is>
          <t>ORD-10572</t>
        </is>
      </c>
      <c r="B797" s="26" t="n">
        <v>45932</v>
      </c>
      <c r="C797" s="25">
        <f>MONTH(B797)</f>
        <v/>
      </c>
      <c r="D797" s="25" t="inlineStr">
        <is>
          <t>East</t>
        </is>
      </c>
      <c r="E797" s="25" t="inlineStr">
        <is>
          <t>Office Supplies</t>
        </is>
      </c>
      <c r="F797" s="25" t="inlineStr">
        <is>
          <t>Printer Paper Box</t>
        </is>
      </c>
      <c r="G797" s="25" t="n">
        <v>5</v>
      </c>
      <c r="H797" s="27" t="n">
        <v>1600</v>
      </c>
      <c r="I797" s="28" t="n">
        <v>0.2</v>
      </c>
      <c r="J797" s="27" t="n">
        <v>1050</v>
      </c>
      <c r="K797" s="27">
        <f>G797*H797*(1-I797)</f>
        <v/>
      </c>
      <c r="L797" s="27">
        <f>K797-G797*J797</f>
        <v/>
      </c>
    </row>
    <row r="798">
      <c r="A798" s="25" t="inlineStr">
        <is>
          <t>ORD-10817</t>
        </is>
      </c>
      <c r="B798" s="26" t="n">
        <v>45932</v>
      </c>
      <c r="C798" s="25">
        <f>MONTH(B798)</f>
        <v/>
      </c>
      <c r="D798" s="25" t="inlineStr">
        <is>
          <t>North</t>
        </is>
      </c>
      <c r="E798" s="25" t="inlineStr">
        <is>
          <t>Accessories</t>
        </is>
      </c>
      <c r="F798" s="25" t="inlineStr">
        <is>
          <t>USB-C Hub</t>
        </is>
      </c>
      <c r="G798" s="25" t="n">
        <v>2</v>
      </c>
      <c r="H798" s="27" t="n">
        <v>1800</v>
      </c>
      <c r="I798" s="28" t="n">
        <v>0.05</v>
      </c>
      <c r="J798" s="27" t="n">
        <v>980</v>
      </c>
      <c r="K798" s="27">
        <f>G798*H798*(1-I798)</f>
        <v/>
      </c>
      <c r="L798" s="27">
        <f>K798-G798*J798</f>
        <v/>
      </c>
    </row>
    <row r="799">
      <c r="A799" s="25" t="inlineStr">
        <is>
          <t>ORD-10367</t>
        </is>
      </c>
      <c r="B799" s="26" t="n">
        <v>45933</v>
      </c>
      <c r="C799" s="25">
        <f>MONTH(B799)</f>
        <v/>
      </c>
      <c r="D799" s="25" t="inlineStr">
        <is>
          <t>East</t>
        </is>
      </c>
      <c r="E799" s="25" t="inlineStr">
        <is>
          <t>Office Supplies</t>
        </is>
      </c>
      <c r="F799" s="25" t="inlineStr">
        <is>
          <t>Notebook Set</t>
        </is>
      </c>
      <c r="G799" s="25" t="n">
        <v>8</v>
      </c>
      <c r="H799" s="27" t="n">
        <v>450</v>
      </c>
      <c r="I799" s="28" t="n">
        <v>0.2</v>
      </c>
      <c r="J799" s="27" t="n">
        <v>190</v>
      </c>
      <c r="K799" s="27">
        <f>G799*H799*(1-I799)</f>
        <v/>
      </c>
      <c r="L799" s="27">
        <f>K799-G799*J799</f>
        <v/>
      </c>
    </row>
    <row r="800">
      <c r="A800" s="25" t="inlineStr">
        <is>
          <t>ORD-10439</t>
        </is>
      </c>
      <c r="B800" s="26" t="n">
        <v>45933</v>
      </c>
      <c r="C800" s="25">
        <f>MONTH(B800)</f>
        <v/>
      </c>
      <c r="D800" s="25" t="inlineStr">
        <is>
          <t>South</t>
        </is>
      </c>
      <c r="E800" s="25" t="inlineStr">
        <is>
          <t>Office Supplies</t>
        </is>
      </c>
      <c r="F800" s="25" t="inlineStr">
        <is>
          <t>Printer Paper Box</t>
        </is>
      </c>
      <c r="G800" s="25" t="n">
        <v>3</v>
      </c>
      <c r="H800" s="27" t="n">
        <v>1600</v>
      </c>
      <c r="I800" s="28" t="n">
        <v>0.05</v>
      </c>
      <c r="J800" s="27" t="n">
        <v>1050</v>
      </c>
      <c r="K800" s="27">
        <f>G800*H800*(1-I800)</f>
        <v/>
      </c>
      <c r="L800" s="27">
        <f>K800-G800*J800</f>
        <v/>
      </c>
    </row>
    <row r="801">
      <c r="A801" s="25" t="inlineStr">
        <is>
          <t>ORD-10446</t>
        </is>
      </c>
      <c r="B801" s="26" t="n">
        <v>45933</v>
      </c>
      <c r="C801" s="25">
        <f>MONTH(B801)</f>
        <v/>
      </c>
      <c r="D801" s="25" t="inlineStr">
        <is>
          <t>South</t>
        </is>
      </c>
      <c r="E801" s="25" t="inlineStr">
        <is>
          <t>Accessories</t>
        </is>
      </c>
      <c r="F801" s="25" t="inlineStr">
        <is>
          <t>USB-C Hub</t>
        </is>
      </c>
      <c r="G801" s="25" t="n">
        <v>2</v>
      </c>
      <c r="H801" s="27" t="n">
        <v>1800</v>
      </c>
      <c r="I801" s="28" t="n">
        <v>0.1</v>
      </c>
      <c r="J801" s="27" t="n">
        <v>980</v>
      </c>
      <c r="K801" s="27">
        <f>G801*H801*(1-I801)</f>
        <v/>
      </c>
      <c r="L801" s="27">
        <f>K801-G801*J801</f>
        <v/>
      </c>
    </row>
    <row r="802">
      <c r="A802" s="25" t="inlineStr">
        <is>
          <t>ORD-10604</t>
        </is>
      </c>
      <c r="B802" s="26" t="n">
        <v>45933</v>
      </c>
      <c r="C802" s="25">
        <f>MONTH(B802)</f>
        <v/>
      </c>
      <c r="D802" s="25" t="inlineStr">
        <is>
          <t>South</t>
        </is>
      </c>
      <c r="E802" s="25" t="inlineStr">
        <is>
          <t>Office Supplies</t>
        </is>
      </c>
      <c r="F802" s="25" t="inlineStr">
        <is>
          <t>Notebook Set</t>
        </is>
      </c>
      <c r="G802" s="25" t="n">
        <v>4</v>
      </c>
      <c r="H802" s="27" t="n">
        <v>450</v>
      </c>
      <c r="I802" s="28" t="n">
        <v>0</v>
      </c>
      <c r="J802" s="27" t="n">
        <v>190</v>
      </c>
      <c r="K802" s="27">
        <f>G802*H802*(1-I802)</f>
        <v/>
      </c>
      <c r="L802" s="27">
        <f>K802-G802*J802</f>
        <v/>
      </c>
    </row>
    <row r="803">
      <c r="A803" s="25" t="inlineStr">
        <is>
          <t>ORD-10784</t>
        </is>
      </c>
      <c r="B803" s="26" t="n">
        <v>45933</v>
      </c>
      <c r="C803" s="25">
        <f>MONTH(B803)</f>
        <v/>
      </c>
      <c r="D803" s="25" t="inlineStr">
        <is>
          <t>South</t>
        </is>
      </c>
      <c r="E803" s="25" t="inlineStr">
        <is>
          <t>Furniture</t>
        </is>
      </c>
      <c r="F803" s="25" t="inlineStr">
        <is>
          <t>Bookshelf</t>
        </is>
      </c>
      <c r="G803" s="25" t="n">
        <v>3</v>
      </c>
      <c r="H803" s="27" t="n">
        <v>6200</v>
      </c>
      <c r="I803" s="28" t="n">
        <v>0</v>
      </c>
      <c r="J803" s="27" t="n">
        <v>4100</v>
      </c>
      <c r="K803" s="27">
        <f>G803*H803*(1-I803)</f>
        <v/>
      </c>
      <c r="L803" s="27">
        <f>K803-G803*J803</f>
        <v/>
      </c>
    </row>
    <row r="804">
      <c r="A804" s="25" t="inlineStr">
        <is>
          <t>ORD-10796</t>
        </is>
      </c>
      <c r="B804" s="26" t="n">
        <v>45933</v>
      </c>
      <c r="C804" s="25">
        <f>MONTH(B804)</f>
        <v/>
      </c>
      <c r="D804" s="25" t="inlineStr">
        <is>
          <t>South</t>
        </is>
      </c>
      <c r="E804" s="25" t="inlineStr">
        <is>
          <t>Accessories</t>
        </is>
      </c>
      <c r="F804" s="25" t="inlineStr">
        <is>
          <t>Headphones</t>
        </is>
      </c>
      <c r="G804" s="25" t="n">
        <v>2</v>
      </c>
      <c r="H804" s="27" t="n">
        <v>4500</v>
      </c>
      <c r="I804" s="28" t="n">
        <v>0</v>
      </c>
      <c r="J804" s="27" t="n">
        <v>2600</v>
      </c>
      <c r="K804" s="27">
        <f>G804*H804*(1-I804)</f>
        <v/>
      </c>
      <c r="L804" s="27">
        <f>K804-G804*J804</f>
        <v/>
      </c>
    </row>
    <row r="805">
      <c r="A805" s="25" t="inlineStr">
        <is>
          <t>ORD-10889</t>
        </is>
      </c>
      <c r="B805" s="26" t="n">
        <v>45933</v>
      </c>
      <c r="C805" s="25">
        <f>MONTH(B805)</f>
        <v/>
      </c>
      <c r="D805" s="25" t="inlineStr">
        <is>
          <t>East</t>
        </is>
      </c>
      <c r="E805" s="25" t="inlineStr">
        <is>
          <t>Office Supplies</t>
        </is>
      </c>
      <c r="F805" s="25" t="inlineStr">
        <is>
          <t>Notebook Set</t>
        </is>
      </c>
      <c r="G805" s="25" t="n">
        <v>6</v>
      </c>
      <c r="H805" s="27" t="n">
        <v>450</v>
      </c>
      <c r="I805" s="28" t="n">
        <v>0.2</v>
      </c>
      <c r="J805" s="27" t="n">
        <v>190</v>
      </c>
      <c r="K805" s="27">
        <f>G805*H805*(1-I805)</f>
        <v/>
      </c>
      <c r="L805" s="27">
        <f>K805-G805*J805</f>
        <v/>
      </c>
    </row>
    <row r="806">
      <c r="A806" s="25" t="inlineStr">
        <is>
          <t>ORD-11116</t>
        </is>
      </c>
      <c r="B806" s="26" t="n">
        <v>45933</v>
      </c>
      <c r="C806" s="25">
        <f>MONTH(B806)</f>
        <v/>
      </c>
      <c r="D806" s="25" t="inlineStr">
        <is>
          <t>West</t>
        </is>
      </c>
      <c r="E806" s="25" t="inlineStr">
        <is>
          <t>Furniture</t>
        </is>
      </c>
      <c r="F806" s="25" t="inlineStr">
        <is>
          <t>Office Chair</t>
        </is>
      </c>
      <c r="G806" s="25" t="n">
        <v>2</v>
      </c>
      <c r="H806" s="27" t="n">
        <v>8500</v>
      </c>
      <c r="I806" s="28" t="n">
        <v>0</v>
      </c>
      <c r="J806" s="27" t="n">
        <v>5600</v>
      </c>
      <c r="K806" s="27">
        <f>G806*H806*(1-I806)</f>
        <v/>
      </c>
      <c r="L806" s="27">
        <f>K806-G806*J806</f>
        <v/>
      </c>
    </row>
    <row r="807">
      <c r="A807" s="25" t="inlineStr">
        <is>
          <t>ORD-10253</t>
        </is>
      </c>
      <c r="B807" s="26" t="n">
        <v>45934</v>
      </c>
      <c r="C807" s="25">
        <f>MONTH(B807)</f>
        <v/>
      </c>
      <c r="D807" s="25" t="inlineStr">
        <is>
          <t>North</t>
        </is>
      </c>
      <c r="E807" s="25" t="inlineStr">
        <is>
          <t>Technology</t>
        </is>
      </c>
      <c r="F807" s="25" t="inlineStr">
        <is>
          <t>Wireless Mouse</t>
        </is>
      </c>
      <c r="G807" s="25" t="n">
        <v>1</v>
      </c>
      <c r="H807" s="27" t="n">
        <v>1200</v>
      </c>
      <c r="I807" s="28" t="n">
        <v>0.2</v>
      </c>
      <c r="J807" s="27" t="n">
        <v>650</v>
      </c>
      <c r="K807" s="27">
        <f>G807*H807*(1-I807)</f>
        <v/>
      </c>
      <c r="L807" s="27">
        <f>K807-G807*J807</f>
        <v/>
      </c>
    </row>
    <row r="808">
      <c r="A808" s="25" t="inlineStr">
        <is>
          <t>ORD-10390</t>
        </is>
      </c>
      <c r="B808" s="26" t="n">
        <v>45935</v>
      </c>
      <c r="C808" s="25">
        <f>MONTH(B808)</f>
        <v/>
      </c>
      <c r="D808" s="25" t="inlineStr">
        <is>
          <t>South</t>
        </is>
      </c>
      <c r="E808" s="25" t="inlineStr">
        <is>
          <t>Office Supplies</t>
        </is>
      </c>
      <c r="F808" s="25" t="inlineStr">
        <is>
          <t>Printer Paper Box</t>
        </is>
      </c>
      <c r="G808" s="25" t="n">
        <v>2</v>
      </c>
      <c r="H808" s="27" t="n">
        <v>1600</v>
      </c>
      <c r="I808" s="28" t="n">
        <v>0</v>
      </c>
      <c r="J808" s="27" t="n">
        <v>1050</v>
      </c>
      <c r="K808" s="27">
        <f>G808*H808*(1-I808)</f>
        <v/>
      </c>
      <c r="L808" s="27">
        <f>K808-G808*J808</f>
        <v/>
      </c>
    </row>
    <row r="809">
      <c r="A809" s="25" t="inlineStr">
        <is>
          <t>ORD-10484</t>
        </is>
      </c>
      <c r="B809" s="26" t="n">
        <v>45935</v>
      </c>
      <c r="C809" s="25">
        <f>MONTH(B809)</f>
        <v/>
      </c>
      <c r="D809" s="25" t="inlineStr">
        <is>
          <t>West</t>
        </is>
      </c>
      <c r="E809" s="25" t="inlineStr">
        <is>
          <t>Technology</t>
        </is>
      </c>
      <c r="F809" s="25" t="inlineStr">
        <is>
          <t>Mechanical Keyboard</t>
        </is>
      </c>
      <c r="G809" s="25" t="n">
        <v>2</v>
      </c>
      <c r="H809" s="27" t="n">
        <v>4200</v>
      </c>
      <c r="I809" s="28" t="n">
        <v>0.1</v>
      </c>
      <c r="J809" s="27" t="n">
        <v>2500</v>
      </c>
      <c r="K809" s="27">
        <f>G809*H809*(1-I809)</f>
        <v/>
      </c>
      <c r="L809" s="27">
        <f>K809-G809*J809</f>
        <v/>
      </c>
    </row>
    <row r="810">
      <c r="A810" s="25" t="inlineStr">
        <is>
          <t>ORD-10568</t>
        </is>
      </c>
      <c r="B810" s="26" t="n">
        <v>45935</v>
      </c>
      <c r="C810" s="25">
        <f>MONTH(B810)</f>
        <v/>
      </c>
      <c r="D810" s="25" t="inlineStr">
        <is>
          <t>West</t>
        </is>
      </c>
      <c r="E810" s="25" t="inlineStr">
        <is>
          <t>Furniture</t>
        </is>
      </c>
      <c r="F810" s="25" t="inlineStr">
        <is>
          <t>Standing Desk</t>
        </is>
      </c>
      <c r="G810" s="25" t="n">
        <v>1</v>
      </c>
      <c r="H810" s="27" t="n">
        <v>19500</v>
      </c>
      <c r="I810" s="28" t="n">
        <v>0.1</v>
      </c>
      <c r="J810" s="27" t="n">
        <v>13800</v>
      </c>
      <c r="K810" s="27">
        <f>G810*H810*(1-I810)</f>
        <v/>
      </c>
      <c r="L810" s="27">
        <f>K810-G810*J810</f>
        <v/>
      </c>
    </row>
    <row r="811">
      <c r="A811" s="25" t="inlineStr">
        <is>
          <t>ORD-10794</t>
        </is>
      </c>
      <c r="B811" s="26" t="n">
        <v>45935</v>
      </c>
      <c r="C811" s="25">
        <f>MONTH(B811)</f>
        <v/>
      </c>
      <c r="D811" s="25" t="inlineStr">
        <is>
          <t>West</t>
        </is>
      </c>
      <c r="E811" s="25" t="inlineStr">
        <is>
          <t>Office Supplies</t>
        </is>
      </c>
      <c r="F811" s="25" t="inlineStr">
        <is>
          <t>Notebook Set</t>
        </is>
      </c>
      <c r="G811" s="25" t="n">
        <v>5</v>
      </c>
      <c r="H811" s="27" t="n">
        <v>450</v>
      </c>
      <c r="I811" s="28" t="n">
        <v>0</v>
      </c>
      <c r="J811" s="27" t="n">
        <v>190</v>
      </c>
      <c r="K811" s="27">
        <f>G811*H811*(1-I811)</f>
        <v/>
      </c>
      <c r="L811" s="27">
        <f>K811-G811*J811</f>
        <v/>
      </c>
    </row>
    <row r="812">
      <c r="A812" s="25" t="inlineStr">
        <is>
          <t>ORD-10961</t>
        </is>
      </c>
      <c r="B812" s="26" t="n">
        <v>45935</v>
      </c>
      <c r="C812" s="25">
        <f>MONTH(B812)</f>
        <v/>
      </c>
      <c r="D812" s="25" t="inlineStr">
        <is>
          <t>West</t>
        </is>
      </c>
      <c r="E812" s="25" t="inlineStr">
        <is>
          <t>Furniture</t>
        </is>
      </c>
      <c r="F812" s="25" t="inlineStr">
        <is>
          <t>Office Chair</t>
        </is>
      </c>
      <c r="G812" s="25" t="n">
        <v>2</v>
      </c>
      <c r="H812" s="27" t="n">
        <v>8500</v>
      </c>
      <c r="I812" s="28" t="n">
        <v>0</v>
      </c>
      <c r="J812" s="27" t="n">
        <v>5600</v>
      </c>
      <c r="K812" s="27">
        <f>G812*H812*(1-I812)</f>
        <v/>
      </c>
      <c r="L812" s="27">
        <f>K812-G812*J812</f>
        <v/>
      </c>
    </row>
    <row r="813">
      <c r="A813" s="25" t="inlineStr">
        <is>
          <t>ORD-11111</t>
        </is>
      </c>
      <c r="B813" s="26" t="n">
        <v>45935</v>
      </c>
      <c r="C813" s="25">
        <f>MONTH(B813)</f>
        <v/>
      </c>
      <c r="D813" s="25" t="inlineStr">
        <is>
          <t>West</t>
        </is>
      </c>
      <c r="E813" s="25" t="inlineStr">
        <is>
          <t>Office Supplies</t>
        </is>
      </c>
      <c r="F813" s="25" t="inlineStr">
        <is>
          <t>Printer Paper Box</t>
        </is>
      </c>
      <c r="G813" s="25" t="n">
        <v>6</v>
      </c>
      <c r="H813" s="27" t="n">
        <v>1600</v>
      </c>
      <c r="I813" s="28" t="n">
        <v>0.15</v>
      </c>
      <c r="J813" s="27" t="n">
        <v>1050</v>
      </c>
      <c r="K813" s="27">
        <f>G813*H813*(1-I813)</f>
        <v/>
      </c>
      <c r="L813" s="27">
        <f>K813-G813*J813</f>
        <v/>
      </c>
    </row>
    <row r="814">
      <c r="A814" s="25" t="inlineStr">
        <is>
          <t>ORD-11127</t>
        </is>
      </c>
      <c r="B814" s="26" t="n">
        <v>45935</v>
      </c>
      <c r="C814" s="25">
        <f>MONTH(B814)</f>
        <v/>
      </c>
      <c r="D814" s="25" t="inlineStr">
        <is>
          <t>West</t>
        </is>
      </c>
      <c r="E814" s="25" t="inlineStr">
        <is>
          <t>Accessories</t>
        </is>
      </c>
      <c r="F814" s="25" t="inlineStr">
        <is>
          <t>USB-C Hub</t>
        </is>
      </c>
      <c r="G814" s="25" t="n">
        <v>3</v>
      </c>
      <c r="H814" s="27" t="n">
        <v>1800</v>
      </c>
      <c r="I814" s="28" t="n">
        <v>0.1</v>
      </c>
      <c r="J814" s="27" t="n">
        <v>980</v>
      </c>
      <c r="K814" s="27">
        <f>G814*H814*(1-I814)</f>
        <v/>
      </c>
      <c r="L814" s="27">
        <f>K814-G814*J814</f>
        <v/>
      </c>
    </row>
    <row r="815">
      <c r="A815" s="25" t="inlineStr">
        <is>
          <t>ORD-11171</t>
        </is>
      </c>
      <c r="B815" s="26" t="n">
        <v>45936</v>
      </c>
      <c r="C815" s="25">
        <f>MONTH(B815)</f>
        <v/>
      </c>
      <c r="D815" s="25" t="inlineStr">
        <is>
          <t>West</t>
        </is>
      </c>
      <c r="E815" s="25" t="inlineStr">
        <is>
          <t>Furniture</t>
        </is>
      </c>
      <c r="F815" s="25" t="inlineStr">
        <is>
          <t>Standing Desk</t>
        </is>
      </c>
      <c r="G815" s="25" t="n">
        <v>2</v>
      </c>
      <c r="H815" s="27" t="n">
        <v>19500</v>
      </c>
      <c r="I815" s="28" t="n">
        <v>0</v>
      </c>
      <c r="J815" s="27" t="n">
        <v>13800</v>
      </c>
      <c r="K815" s="27">
        <f>G815*H815*(1-I815)</f>
        <v/>
      </c>
      <c r="L815" s="27">
        <f>K815-G815*J815</f>
        <v/>
      </c>
    </row>
    <row r="816">
      <c r="A816" s="25" t="inlineStr">
        <is>
          <t>ORD-10153</t>
        </is>
      </c>
      <c r="B816" s="26" t="n">
        <v>45937</v>
      </c>
      <c r="C816" s="25">
        <f>MONTH(B816)</f>
        <v/>
      </c>
      <c r="D816" s="25" t="inlineStr">
        <is>
          <t>North</t>
        </is>
      </c>
      <c r="E816" s="25" t="inlineStr">
        <is>
          <t>Accessories</t>
        </is>
      </c>
      <c r="F816" s="25" t="inlineStr">
        <is>
          <t>Headphones</t>
        </is>
      </c>
      <c r="G816" s="25" t="n">
        <v>1</v>
      </c>
      <c r="H816" s="27" t="n">
        <v>4500</v>
      </c>
      <c r="I816" s="28" t="n">
        <v>0</v>
      </c>
      <c r="J816" s="27" t="n">
        <v>2600</v>
      </c>
      <c r="K816" s="27">
        <f>G816*H816*(1-I816)</f>
        <v/>
      </c>
      <c r="L816" s="27">
        <f>K816-G816*J816</f>
        <v/>
      </c>
    </row>
    <row r="817">
      <c r="A817" s="25" t="inlineStr">
        <is>
          <t>ORD-10504</t>
        </is>
      </c>
      <c r="B817" s="26" t="n">
        <v>45937</v>
      </c>
      <c r="C817" s="25">
        <f>MONTH(B817)</f>
        <v/>
      </c>
      <c r="D817" s="25" t="inlineStr">
        <is>
          <t>North</t>
        </is>
      </c>
      <c r="E817" s="25" t="inlineStr">
        <is>
          <t>Accessories</t>
        </is>
      </c>
      <c r="F817" s="25" t="inlineStr">
        <is>
          <t>USB-C Hub</t>
        </is>
      </c>
      <c r="G817" s="25" t="n">
        <v>4</v>
      </c>
      <c r="H817" s="27" t="n">
        <v>1800</v>
      </c>
      <c r="I817" s="28" t="n">
        <v>0</v>
      </c>
      <c r="J817" s="27" t="n">
        <v>980</v>
      </c>
      <c r="K817" s="27">
        <f>G817*H817*(1-I817)</f>
        <v/>
      </c>
      <c r="L817" s="27">
        <f>K817-G817*J817</f>
        <v/>
      </c>
    </row>
    <row r="818">
      <c r="A818" s="25" t="inlineStr">
        <is>
          <t>ORD-10608</t>
        </is>
      </c>
      <c r="B818" s="26" t="n">
        <v>45937</v>
      </c>
      <c r="C818" s="25">
        <f>MONTH(B818)</f>
        <v/>
      </c>
      <c r="D818" s="25" t="inlineStr">
        <is>
          <t>West</t>
        </is>
      </c>
      <c r="E818" s="25" t="inlineStr">
        <is>
          <t>Technology</t>
        </is>
      </c>
      <c r="F818" s="25" t="inlineStr">
        <is>
          <t>Wireless Mouse</t>
        </is>
      </c>
      <c r="G818" s="25" t="n">
        <v>1</v>
      </c>
      <c r="H818" s="27" t="n">
        <v>1200</v>
      </c>
      <c r="I818" s="28" t="n">
        <v>0.2</v>
      </c>
      <c r="J818" s="27" t="n">
        <v>650</v>
      </c>
      <c r="K818" s="27">
        <f>G818*H818*(1-I818)</f>
        <v/>
      </c>
      <c r="L818" s="27">
        <f>K818-G818*J818</f>
        <v/>
      </c>
    </row>
    <row r="819">
      <c r="A819" s="25" t="inlineStr">
        <is>
          <t>ORD-11086</t>
        </is>
      </c>
      <c r="B819" s="26" t="n">
        <v>45937</v>
      </c>
      <c r="C819" s="25">
        <f>MONTH(B819)</f>
        <v/>
      </c>
      <c r="D819" s="25" t="inlineStr">
        <is>
          <t>South</t>
        </is>
      </c>
      <c r="E819" s="25" t="inlineStr">
        <is>
          <t>Furniture</t>
        </is>
      </c>
      <c r="F819" s="25" t="inlineStr">
        <is>
          <t>Standing Desk</t>
        </is>
      </c>
      <c r="G819" s="25" t="n">
        <v>2</v>
      </c>
      <c r="H819" s="27" t="n">
        <v>19500</v>
      </c>
      <c r="I819" s="28" t="n">
        <v>0.1</v>
      </c>
      <c r="J819" s="27" t="n">
        <v>13800</v>
      </c>
      <c r="K819" s="27">
        <f>G819*H819*(1-I819)</f>
        <v/>
      </c>
      <c r="L819" s="27">
        <f>K819-G819*J819</f>
        <v/>
      </c>
    </row>
    <row r="820">
      <c r="A820" s="25" t="inlineStr">
        <is>
          <t>ORD-10002</t>
        </is>
      </c>
      <c r="B820" s="26" t="n">
        <v>45938</v>
      </c>
      <c r="C820" s="25">
        <f>MONTH(B820)</f>
        <v/>
      </c>
      <c r="D820" s="25" t="inlineStr">
        <is>
          <t>West</t>
        </is>
      </c>
      <c r="E820" s="25" t="inlineStr">
        <is>
          <t>Office Supplies</t>
        </is>
      </c>
      <c r="F820" s="25" t="inlineStr">
        <is>
          <t>Printer Paper Box</t>
        </is>
      </c>
      <c r="G820" s="25" t="n">
        <v>2</v>
      </c>
      <c r="H820" s="27" t="n">
        <v>1600</v>
      </c>
      <c r="I820" s="28" t="n">
        <v>0</v>
      </c>
      <c r="J820" s="27" t="n">
        <v>1050</v>
      </c>
      <c r="K820" s="27">
        <f>G820*H820*(1-I820)</f>
        <v/>
      </c>
      <c r="L820" s="27">
        <f>K820-G820*J820</f>
        <v/>
      </c>
    </row>
    <row r="821">
      <c r="A821" s="25" t="inlineStr">
        <is>
          <t>ORD-10415</t>
        </is>
      </c>
      <c r="B821" s="26" t="n">
        <v>45938</v>
      </c>
      <c r="C821" s="25">
        <f>MONTH(B821)</f>
        <v/>
      </c>
      <c r="D821" s="25" t="inlineStr">
        <is>
          <t>North</t>
        </is>
      </c>
      <c r="E821" s="25" t="inlineStr">
        <is>
          <t>Office Supplies</t>
        </is>
      </c>
      <c r="F821" s="25" t="inlineStr">
        <is>
          <t>Notebook Set</t>
        </is>
      </c>
      <c r="G821" s="25" t="n">
        <v>7</v>
      </c>
      <c r="H821" s="27" t="n">
        <v>450</v>
      </c>
      <c r="I821" s="28" t="n">
        <v>0.2</v>
      </c>
      <c r="J821" s="27" t="n">
        <v>190</v>
      </c>
      <c r="K821" s="27">
        <f>G821*H821*(1-I821)</f>
        <v/>
      </c>
      <c r="L821" s="27">
        <f>K821-G821*J821</f>
        <v/>
      </c>
    </row>
    <row r="822">
      <c r="A822" s="25" t="inlineStr">
        <is>
          <t>ORD-10555</t>
        </is>
      </c>
      <c r="B822" s="26" t="n">
        <v>45938</v>
      </c>
      <c r="C822" s="25">
        <f>MONTH(B822)</f>
        <v/>
      </c>
      <c r="D822" s="25" t="inlineStr">
        <is>
          <t>South</t>
        </is>
      </c>
      <c r="E822" s="25" t="inlineStr">
        <is>
          <t>Technology</t>
        </is>
      </c>
      <c r="F822" s="25" t="inlineStr">
        <is>
          <t>Wireless Mouse</t>
        </is>
      </c>
      <c r="G822" s="25" t="n">
        <v>1</v>
      </c>
      <c r="H822" s="27" t="n">
        <v>1200</v>
      </c>
      <c r="I822" s="28" t="n">
        <v>0.05</v>
      </c>
      <c r="J822" s="27" t="n">
        <v>650</v>
      </c>
      <c r="K822" s="27">
        <f>G822*H822*(1-I822)</f>
        <v/>
      </c>
      <c r="L822" s="27">
        <f>K822-G822*J822</f>
        <v/>
      </c>
    </row>
    <row r="823">
      <c r="A823" s="25" t="inlineStr">
        <is>
          <t>ORD-10722</t>
        </is>
      </c>
      <c r="B823" s="26" t="n">
        <v>45938</v>
      </c>
      <c r="C823" s="25">
        <f>MONTH(B823)</f>
        <v/>
      </c>
      <c r="D823" s="25" t="inlineStr">
        <is>
          <t>South</t>
        </is>
      </c>
      <c r="E823" s="25" t="inlineStr">
        <is>
          <t>Office Supplies</t>
        </is>
      </c>
      <c r="F823" s="25" t="inlineStr">
        <is>
          <t>Notebook Set</t>
        </is>
      </c>
      <c r="G823" s="25" t="n">
        <v>5</v>
      </c>
      <c r="H823" s="27" t="n">
        <v>450</v>
      </c>
      <c r="I823" s="28" t="n">
        <v>0</v>
      </c>
      <c r="J823" s="27" t="n">
        <v>190</v>
      </c>
      <c r="K823" s="27">
        <f>G823*H823*(1-I823)</f>
        <v/>
      </c>
      <c r="L823" s="27">
        <f>K823-G823*J823</f>
        <v/>
      </c>
    </row>
    <row r="824">
      <c r="A824" s="25" t="inlineStr">
        <is>
          <t>ORD-10863</t>
        </is>
      </c>
      <c r="B824" s="26" t="n">
        <v>45938</v>
      </c>
      <c r="C824" s="25">
        <f>MONTH(B824)</f>
        <v/>
      </c>
      <c r="D824" s="25" t="inlineStr">
        <is>
          <t>North</t>
        </is>
      </c>
      <c r="E824" s="25" t="inlineStr">
        <is>
          <t>Furniture</t>
        </is>
      </c>
      <c r="F824" s="25" t="inlineStr">
        <is>
          <t>Standing Desk</t>
        </is>
      </c>
      <c r="G824" s="25" t="n">
        <v>1</v>
      </c>
      <c r="H824" s="27" t="n">
        <v>19500</v>
      </c>
      <c r="I824" s="28" t="n">
        <v>0.2</v>
      </c>
      <c r="J824" s="27" t="n">
        <v>13800</v>
      </c>
      <c r="K824" s="27">
        <f>G824*H824*(1-I824)</f>
        <v/>
      </c>
      <c r="L824" s="27">
        <f>K824-G824*J824</f>
        <v/>
      </c>
    </row>
    <row r="825">
      <c r="A825" s="25" t="inlineStr">
        <is>
          <t>ORD-10200</t>
        </is>
      </c>
      <c r="B825" s="26" t="n">
        <v>45939</v>
      </c>
      <c r="C825" s="25">
        <f>MONTH(B825)</f>
        <v/>
      </c>
      <c r="D825" s="25" t="inlineStr">
        <is>
          <t>North</t>
        </is>
      </c>
      <c r="E825" s="25" t="inlineStr">
        <is>
          <t>Office Supplies</t>
        </is>
      </c>
      <c r="F825" s="25" t="inlineStr">
        <is>
          <t>Desk Organizer</t>
        </is>
      </c>
      <c r="G825" s="25" t="n">
        <v>1</v>
      </c>
      <c r="H825" s="27" t="n">
        <v>850</v>
      </c>
      <c r="I825" s="28" t="n">
        <v>0</v>
      </c>
      <c r="J825" s="27" t="n">
        <v>420</v>
      </c>
      <c r="K825" s="27">
        <f>G825*H825*(1-I825)</f>
        <v/>
      </c>
      <c r="L825" s="27">
        <f>K825-G825*J825</f>
        <v/>
      </c>
    </row>
    <row r="826">
      <c r="A826" s="25" t="inlineStr">
        <is>
          <t>ORD-10210</t>
        </is>
      </c>
      <c r="B826" s="26" t="n">
        <v>45939</v>
      </c>
      <c r="C826" s="25">
        <f>MONTH(B826)</f>
        <v/>
      </c>
      <c r="D826" s="25" t="inlineStr">
        <is>
          <t>South</t>
        </is>
      </c>
      <c r="E826" s="25" t="inlineStr">
        <is>
          <t>Office Supplies</t>
        </is>
      </c>
      <c r="F826" s="25" t="inlineStr">
        <is>
          <t>Desk Organizer</t>
        </is>
      </c>
      <c r="G826" s="25" t="n">
        <v>5</v>
      </c>
      <c r="H826" s="27" t="n">
        <v>850</v>
      </c>
      <c r="I826" s="28" t="n">
        <v>0.2</v>
      </c>
      <c r="J826" s="27" t="n">
        <v>420</v>
      </c>
      <c r="K826" s="27">
        <f>G826*H826*(1-I826)</f>
        <v/>
      </c>
      <c r="L826" s="27">
        <f>K826-G826*J826</f>
        <v/>
      </c>
    </row>
    <row r="827">
      <c r="A827" s="25" t="inlineStr">
        <is>
          <t>ORD-10594</t>
        </is>
      </c>
      <c r="B827" s="26" t="n">
        <v>45939</v>
      </c>
      <c r="C827" s="25">
        <f>MONTH(B827)</f>
        <v/>
      </c>
      <c r="D827" s="25" t="inlineStr">
        <is>
          <t>East</t>
        </is>
      </c>
      <c r="E827" s="25" t="inlineStr">
        <is>
          <t>Furniture</t>
        </is>
      </c>
      <c r="F827" s="25" t="inlineStr">
        <is>
          <t>Standing Desk</t>
        </is>
      </c>
      <c r="G827" s="25" t="n">
        <v>1</v>
      </c>
      <c r="H827" s="27" t="n">
        <v>19500</v>
      </c>
      <c r="I827" s="28" t="n">
        <v>0</v>
      </c>
      <c r="J827" s="27" t="n">
        <v>13800</v>
      </c>
      <c r="K827" s="27">
        <f>G827*H827*(1-I827)</f>
        <v/>
      </c>
      <c r="L827" s="27">
        <f>K827-G827*J827</f>
        <v/>
      </c>
    </row>
    <row r="828">
      <c r="A828" s="25" t="inlineStr">
        <is>
          <t>ORD-11178</t>
        </is>
      </c>
      <c r="B828" s="26" t="n">
        <v>45939</v>
      </c>
      <c r="C828" s="25">
        <f>MONTH(B828)</f>
        <v/>
      </c>
      <c r="D828" s="25" t="inlineStr">
        <is>
          <t>West</t>
        </is>
      </c>
      <c r="E828" s="25" t="inlineStr">
        <is>
          <t>Furniture</t>
        </is>
      </c>
      <c r="F828" s="25" t="inlineStr">
        <is>
          <t>Bookshelf</t>
        </is>
      </c>
      <c r="G828" s="25" t="n">
        <v>2</v>
      </c>
      <c r="H828" s="27" t="n">
        <v>6200</v>
      </c>
      <c r="I828" s="28" t="n">
        <v>0</v>
      </c>
      <c r="J828" s="27" t="n">
        <v>4100</v>
      </c>
      <c r="K828" s="27">
        <f>G828*H828*(1-I828)</f>
        <v/>
      </c>
      <c r="L828" s="27">
        <f>K828-G828*J828</f>
        <v/>
      </c>
    </row>
    <row r="829">
      <c r="A829" s="25" t="inlineStr">
        <is>
          <t>ORD-10893</t>
        </is>
      </c>
      <c r="B829" s="26" t="n">
        <v>45940</v>
      </c>
      <c r="C829" s="25">
        <f>MONTH(B829)</f>
        <v/>
      </c>
      <c r="D829" s="25" t="inlineStr">
        <is>
          <t>North</t>
        </is>
      </c>
      <c r="E829" s="25" t="inlineStr">
        <is>
          <t>Accessories</t>
        </is>
      </c>
      <c r="F829" s="25" t="inlineStr">
        <is>
          <t>Webcam</t>
        </is>
      </c>
      <c r="G829" s="25" t="n">
        <v>1</v>
      </c>
      <c r="H829" s="27" t="n">
        <v>3200</v>
      </c>
      <c r="I829" s="28" t="n">
        <v>0</v>
      </c>
      <c r="J829" s="27" t="n">
        <v>1900</v>
      </c>
      <c r="K829" s="27">
        <f>G829*H829*(1-I829)</f>
        <v/>
      </c>
      <c r="L829" s="27">
        <f>K829-G829*J829</f>
        <v/>
      </c>
    </row>
    <row r="830">
      <c r="A830" s="25" t="inlineStr">
        <is>
          <t>ORD-11108</t>
        </is>
      </c>
      <c r="B830" s="26" t="n">
        <v>45940</v>
      </c>
      <c r="C830" s="25">
        <f>MONTH(B830)</f>
        <v/>
      </c>
      <c r="D830" s="25" t="inlineStr">
        <is>
          <t>South</t>
        </is>
      </c>
      <c r="E830" s="25" t="inlineStr">
        <is>
          <t>Technology</t>
        </is>
      </c>
      <c r="F830" s="25" t="inlineStr">
        <is>
          <t>Mechanical Keyboard</t>
        </is>
      </c>
      <c r="G830" s="25" t="n">
        <v>3</v>
      </c>
      <c r="H830" s="27" t="n">
        <v>4200</v>
      </c>
      <c r="I830" s="28" t="n">
        <v>0</v>
      </c>
      <c r="J830" s="27" t="n">
        <v>2500</v>
      </c>
      <c r="K830" s="27">
        <f>G830*H830*(1-I830)</f>
        <v/>
      </c>
      <c r="L830" s="27">
        <f>K830-G830*J830</f>
        <v/>
      </c>
    </row>
    <row r="831">
      <c r="A831" s="25" t="inlineStr">
        <is>
          <t>ORD-10134</t>
        </is>
      </c>
      <c r="B831" s="26" t="n">
        <v>45941</v>
      </c>
      <c r="C831" s="25">
        <f>MONTH(B831)</f>
        <v/>
      </c>
      <c r="D831" s="25" t="inlineStr">
        <is>
          <t>North</t>
        </is>
      </c>
      <c r="E831" s="25" t="inlineStr">
        <is>
          <t>Office Supplies</t>
        </is>
      </c>
      <c r="F831" s="25" t="inlineStr">
        <is>
          <t>Desk Organizer</t>
        </is>
      </c>
      <c r="G831" s="25" t="n">
        <v>5</v>
      </c>
      <c r="H831" s="27" t="n">
        <v>850</v>
      </c>
      <c r="I831" s="28" t="n">
        <v>0</v>
      </c>
      <c r="J831" s="27" t="n">
        <v>420</v>
      </c>
      <c r="K831" s="27">
        <f>G831*H831*(1-I831)</f>
        <v/>
      </c>
      <c r="L831" s="27">
        <f>K831-G831*J831</f>
        <v/>
      </c>
    </row>
    <row r="832">
      <c r="A832" s="25" t="inlineStr">
        <is>
          <t>ORD-10771</t>
        </is>
      </c>
      <c r="B832" s="26" t="n">
        <v>45941</v>
      </c>
      <c r="C832" s="25">
        <f>MONTH(B832)</f>
        <v/>
      </c>
      <c r="D832" s="25" t="inlineStr">
        <is>
          <t>South</t>
        </is>
      </c>
      <c r="E832" s="25" t="inlineStr">
        <is>
          <t>Furniture</t>
        </is>
      </c>
      <c r="F832" s="25" t="inlineStr">
        <is>
          <t>Bookshelf</t>
        </is>
      </c>
      <c r="G832" s="25" t="n">
        <v>1</v>
      </c>
      <c r="H832" s="27" t="n">
        <v>6200</v>
      </c>
      <c r="I832" s="28" t="n">
        <v>0</v>
      </c>
      <c r="J832" s="27" t="n">
        <v>4100</v>
      </c>
      <c r="K832" s="27">
        <f>G832*H832*(1-I832)</f>
        <v/>
      </c>
      <c r="L832" s="27">
        <f>K832-G832*J832</f>
        <v/>
      </c>
    </row>
    <row r="833">
      <c r="A833" s="25" t="inlineStr">
        <is>
          <t>ORD-10140</t>
        </is>
      </c>
      <c r="B833" s="26" t="n">
        <v>45942</v>
      </c>
      <c r="C833" s="25">
        <f>MONTH(B833)</f>
        <v/>
      </c>
      <c r="D833" s="25" t="inlineStr">
        <is>
          <t>West</t>
        </is>
      </c>
      <c r="E833" s="25" t="inlineStr">
        <is>
          <t>Accessories</t>
        </is>
      </c>
      <c r="F833" s="25" t="inlineStr">
        <is>
          <t>USB-C Hub</t>
        </is>
      </c>
      <c r="G833" s="25" t="n">
        <v>3</v>
      </c>
      <c r="H833" s="27" t="n">
        <v>1800</v>
      </c>
      <c r="I833" s="28" t="n">
        <v>0.15</v>
      </c>
      <c r="J833" s="27" t="n">
        <v>980</v>
      </c>
      <c r="K833" s="27">
        <f>G833*H833*(1-I833)</f>
        <v/>
      </c>
      <c r="L833" s="27">
        <f>K833-G833*J833</f>
        <v/>
      </c>
    </row>
    <row r="834">
      <c r="A834" s="25" t="inlineStr">
        <is>
          <t>ORD-10448</t>
        </is>
      </c>
      <c r="B834" s="26" t="n">
        <v>45942</v>
      </c>
      <c r="C834" s="25">
        <f>MONTH(B834)</f>
        <v/>
      </c>
      <c r="D834" s="25" t="inlineStr">
        <is>
          <t>West</t>
        </is>
      </c>
      <c r="E834" s="25" t="inlineStr">
        <is>
          <t>Technology</t>
        </is>
      </c>
      <c r="F834" s="25" t="inlineStr">
        <is>
          <t>Wireless Mouse</t>
        </is>
      </c>
      <c r="G834" s="25" t="n">
        <v>3</v>
      </c>
      <c r="H834" s="27" t="n">
        <v>1200</v>
      </c>
      <c r="I834" s="28" t="n">
        <v>0.2</v>
      </c>
      <c r="J834" s="27" t="n">
        <v>650</v>
      </c>
      <c r="K834" s="27">
        <f>G834*H834*(1-I834)</f>
        <v/>
      </c>
      <c r="L834" s="27">
        <f>K834-G834*J834</f>
        <v/>
      </c>
    </row>
    <row r="835">
      <c r="A835" s="25" t="inlineStr">
        <is>
          <t>ORD-10486</t>
        </is>
      </c>
      <c r="B835" s="26" t="n">
        <v>45942</v>
      </c>
      <c r="C835" s="25">
        <f>MONTH(B835)</f>
        <v/>
      </c>
      <c r="D835" s="25" t="inlineStr">
        <is>
          <t>South</t>
        </is>
      </c>
      <c r="E835" s="25" t="inlineStr">
        <is>
          <t>Accessories</t>
        </is>
      </c>
      <c r="F835" s="25" t="inlineStr">
        <is>
          <t>Headphones</t>
        </is>
      </c>
      <c r="G835" s="25" t="n">
        <v>3</v>
      </c>
      <c r="H835" s="27" t="n">
        <v>4500</v>
      </c>
      <c r="I835" s="28" t="n">
        <v>0</v>
      </c>
      <c r="J835" s="27" t="n">
        <v>2600</v>
      </c>
      <c r="K835" s="27">
        <f>G835*H835*(1-I835)</f>
        <v/>
      </c>
      <c r="L835" s="27">
        <f>K835-G835*J835</f>
        <v/>
      </c>
    </row>
    <row r="836">
      <c r="A836" s="25" t="inlineStr">
        <is>
          <t>ORD-10494</t>
        </is>
      </c>
      <c r="B836" s="26" t="n">
        <v>45942</v>
      </c>
      <c r="C836" s="25">
        <f>MONTH(B836)</f>
        <v/>
      </c>
      <c r="D836" s="25" t="inlineStr">
        <is>
          <t>South</t>
        </is>
      </c>
      <c r="E836" s="25" t="inlineStr">
        <is>
          <t>Office Supplies</t>
        </is>
      </c>
      <c r="F836" s="25" t="inlineStr">
        <is>
          <t>Notebook Set</t>
        </is>
      </c>
      <c r="G836" s="25" t="n">
        <v>1</v>
      </c>
      <c r="H836" s="27" t="n">
        <v>450</v>
      </c>
      <c r="I836" s="28" t="n">
        <v>0</v>
      </c>
      <c r="J836" s="27" t="n">
        <v>190</v>
      </c>
      <c r="K836" s="27">
        <f>G836*H836*(1-I836)</f>
        <v/>
      </c>
      <c r="L836" s="27">
        <f>K836-G836*J836</f>
        <v/>
      </c>
    </row>
    <row r="837">
      <c r="A837" s="25" t="inlineStr">
        <is>
          <t>ORD-10884</t>
        </is>
      </c>
      <c r="B837" s="26" t="n">
        <v>45942</v>
      </c>
      <c r="C837" s="25">
        <f>MONTH(B837)</f>
        <v/>
      </c>
      <c r="D837" s="25" t="inlineStr">
        <is>
          <t>West</t>
        </is>
      </c>
      <c r="E837" s="25" t="inlineStr">
        <is>
          <t>Office Supplies</t>
        </is>
      </c>
      <c r="F837" s="25" t="inlineStr">
        <is>
          <t>Notebook Set</t>
        </is>
      </c>
      <c r="G837" s="25" t="n">
        <v>7</v>
      </c>
      <c r="H837" s="27" t="n">
        <v>450</v>
      </c>
      <c r="I837" s="28" t="n">
        <v>0</v>
      </c>
      <c r="J837" s="27" t="n">
        <v>190</v>
      </c>
      <c r="K837" s="27">
        <f>G837*H837*(1-I837)</f>
        <v/>
      </c>
      <c r="L837" s="27">
        <f>K837-G837*J837</f>
        <v/>
      </c>
    </row>
    <row r="838">
      <c r="A838" s="25" t="inlineStr">
        <is>
          <t>ORD-10193</t>
        </is>
      </c>
      <c r="B838" s="26" t="n">
        <v>45943</v>
      </c>
      <c r="C838" s="25">
        <f>MONTH(B838)</f>
        <v/>
      </c>
      <c r="D838" s="25" t="inlineStr">
        <is>
          <t>East</t>
        </is>
      </c>
      <c r="E838" s="25" t="inlineStr">
        <is>
          <t>Accessories</t>
        </is>
      </c>
      <c r="F838" s="25" t="inlineStr">
        <is>
          <t>USB-C Hub</t>
        </is>
      </c>
      <c r="G838" s="25" t="n">
        <v>4</v>
      </c>
      <c r="H838" s="27" t="n">
        <v>1800</v>
      </c>
      <c r="I838" s="28" t="n">
        <v>0</v>
      </c>
      <c r="J838" s="27" t="n">
        <v>980</v>
      </c>
      <c r="K838" s="27">
        <f>G838*H838*(1-I838)</f>
        <v/>
      </c>
      <c r="L838" s="27">
        <f>K838-G838*J838</f>
        <v/>
      </c>
    </row>
    <row r="839">
      <c r="A839" s="25" t="inlineStr">
        <is>
          <t>ORD-10220</t>
        </is>
      </c>
      <c r="B839" s="26" t="n">
        <v>45943</v>
      </c>
      <c r="C839" s="25">
        <f>MONTH(B839)</f>
        <v/>
      </c>
      <c r="D839" s="25" t="inlineStr">
        <is>
          <t>North</t>
        </is>
      </c>
      <c r="E839" s="25" t="inlineStr">
        <is>
          <t>Furniture</t>
        </is>
      </c>
      <c r="F839" s="25" t="inlineStr">
        <is>
          <t>Standing Desk</t>
        </is>
      </c>
      <c r="G839" s="25" t="n">
        <v>1</v>
      </c>
      <c r="H839" s="27" t="n">
        <v>19500</v>
      </c>
      <c r="I839" s="28" t="n">
        <v>0.2</v>
      </c>
      <c r="J839" s="27" t="n">
        <v>13800</v>
      </c>
      <c r="K839" s="27">
        <f>G839*H839*(1-I839)</f>
        <v/>
      </c>
      <c r="L839" s="27">
        <f>K839-G839*J839</f>
        <v/>
      </c>
    </row>
    <row r="840">
      <c r="A840" s="25" t="inlineStr">
        <is>
          <t>ORD-10493</t>
        </is>
      </c>
      <c r="B840" s="26" t="n">
        <v>45943</v>
      </c>
      <c r="C840" s="25">
        <f>MONTH(B840)</f>
        <v/>
      </c>
      <c r="D840" s="25" t="inlineStr">
        <is>
          <t>North</t>
        </is>
      </c>
      <c r="E840" s="25" t="inlineStr">
        <is>
          <t>Office Supplies</t>
        </is>
      </c>
      <c r="F840" s="25" t="inlineStr">
        <is>
          <t>Notebook Set</t>
        </is>
      </c>
      <c r="G840" s="25" t="n">
        <v>8</v>
      </c>
      <c r="H840" s="27" t="n">
        <v>450</v>
      </c>
      <c r="I840" s="28" t="n">
        <v>0</v>
      </c>
      <c r="J840" s="27" t="n">
        <v>190</v>
      </c>
      <c r="K840" s="27">
        <f>G840*H840*(1-I840)</f>
        <v/>
      </c>
      <c r="L840" s="27">
        <f>K840-G840*J840</f>
        <v/>
      </c>
    </row>
    <row r="841">
      <c r="A841" s="25" t="inlineStr">
        <is>
          <t>ORD-10653</t>
        </is>
      </c>
      <c r="B841" s="26" t="n">
        <v>45943</v>
      </c>
      <c r="C841" s="25">
        <f>MONTH(B841)</f>
        <v/>
      </c>
      <c r="D841" s="25" t="inlineStr">
        <is>
          <t>East</t>
        </is>
      </c>
      <c r="E841" s="25" t="inlineStr">
        <is>
          <t>Accessories</t>
        </is>
      </c>
      <c r="F841" s="25" t="inlineStr">
        <is>
          <t>Webcam</t>
        </is>
      </c>
      <c r="G841" s="25" t="n">
        <v>2</v>
      </c>
      <c r="H841" s="27" t="n">
        <v>3200</v>
      </c>
      <c r="I841" s="28" t="n">
        <v>0</v>
      </c>
      <c r="J841" s="27" t="n">
        <v>1900</v>
      </c>
      <c r="K841" s="27">
        <f>G841*H841*(1-I841)</f>
        <v/>
      </c>
      <c r="L841" s="27">
        <f>K841-G841*J841</f>
        <v/>
      </c>
    </row>
    <row r="842">
      <c r="A842" s="25" t="inlineStr">
        <is>
          <t>ORD-10703</t>
        </is>
      </c>
      <c r="B842" s="26" t="n">
        <v>45943</v>
      </c>
      <c r="C842" s="25">
        <f>MONTH(B842)</f>
        <v/>
      </c>
      <c r="D842" s="25" t="inlineStr">
        <is>
          <t>North</t>
        </is>
      </c>
      <c r="E842" s="25" t="inlineStr">
        <is>
          <t>Office Supplies</t>
        </is>
      </c>
      <c r="F842" s="25" t="inlineStr">
        <is>
          <t>Notebook Set</t>
        </is>
      </c>
      <c r="G842" s="25" t="n">
        <v>1</v>
      </c>
      <c r="H842" s="27" t="n">
        <v>450</v>
      </c>
      <c r="I842" s="28" t="n">
        <v>0</v>
      </c>
      <c r="J842" s="27" t="n">
        <v>190</v>
      </c>
      <c r="K842" s="27">
        <f>G842*H842*(1-I842)</f>
        <v/>
      </c>
      <c r="L842" s="27">
        <f>K842-G842*J842</f>
        <v/>
      </c>
    </row>
    <row r="843">
      <c r="A843" s="25" t="inlineStr">
        <is>
          <t>ORD-10899</t>
        </is>
      </c>
      <c r="B843" s="26" t="n">
        <v>45943</v>
      </c>
      <c r="C843" s="25">
        <f>MONTH(B843)</f>
        <v/>
      </c>
      <c r="D843" s="25" t="inlineStr">
        <is>
          <t>West</t>
        </is>
      </c>
      <c r="E843" s="25" t="inlineStr">
        <is>
          <t>Furniture</t>
        </is>
      </c>
      <c r="F843" s="25" t="inlineStr">
        <is>
          <t>Standing Desk</t>
        </is>
      </c>
      <c r="G843" s="25" t="n">
        <v>2</v>
      </c>
      <c r="H843" s="27" t="n">
        <v>19500</v>
      </c>
      <c r="I843" s="28" t="n">
        <v>0.2</v>
      </c>
      <c r="J843" s="27" t="n">
        <v>13800</v>
      </c>
      <c r="K843" s="27">
        <f>G843*H843*(1-I843)</f>
        <v/>
      </c>
      <c r="L843" s="27">
        <f>K843-G843*J843</f>
        <v/>
      </c>
    </row>
    <row r="844">
      <c r="A844" s="25" t="inlineStr">
        <is>
          <t>ORD-10968</t>
        </is>
      </c>
      <c r="B844" s="26" t="n">
        <v>45943</v>
      </c>
      <c r="C844" s="25">
        <f>MONTH(B844)</f>
        <v/>
      </c>
      <c r="D844" s="25" t="inlineStr">
        <is>
          <t>North</t>
        </is>
      </c>
      <c r="E844" s="25" t="inlineStr">
        <is>
          <t>Accessories</t>
        </is>
      </c>
      <c r="F844" s="25" t="inlineStr">
        <is>
          <t>USB-C Hub</t>
        </is>
      </c>
      <c r="G844" s="25" t="n">
        <v>3</v>
      </c>
      <c r="H844" s="27" t="n">
        <v>1800</v>
      </c>
      <c r="I844" s="28" t="n">
        <v>0.15</v>
      </c>
      <c r="J844" s="27" t="n">
        <v>980</v>
      </c>
      <c r="K844" s="27">
        <f>G844*H844*(1-I844)</f>
        <v/>
      </c>
      <c r="L844" s="27">
        <f>K844-G844*J844</f>
        <v/>
      </c>
    </row>
    <row r="845">
      <c r="A845" s="25" t="inlineStr">
        <is>
          <t>ORD-11014</t>
        </is>
      </c>
      <c r="B845" s="26" t="n">
        <v>45943</v>
      </c>
      <c r="C845" s="25">
        <f>MONTH(B845)</f>
        <v/>
      </c>
      <c r="D845" s="25" t="inlineStr">
        <is>
          <t>West</t>
        </is>
      </c>
      <c r="E845" s="25" t="inlineStr">
        <is>
          <t>Accessories</t>
        </is>
      </c>
      <c r="F845" s="25" t="inlineStr">
        <is>
          <t>Headphones</t>
        </is>
      </c>
      <c r="G845" s="25" t="n">
        <v>3</v>
      </c>
      <c r="H845" s="27" t="n">
        <v>4500</v>
      </c>
      <c r="I845" s="28" t="n">
        <v>0.2</v>
      </c>
      <c r="J845" s="27" t="n">
        <v>2600</v>
      </c>
      <c r="K845" s="27">
        <f>G845*H845*(1-I845)</f>
        <v/>
      </c>
      <c r="L845" s="27">
        <f>K845-G845*J845</f>
        <v/>
      </c>
    </row>
    <row r="846">
      <c r="A846" s="25" t="inlineStr">
        <is>
          <t>ORD-10108</t>
        </is>
      </c>
      <c r="B846" s="26" t="n">
        <v>45944</v>
      </c>
      <c r="C846" s="25">
        <f>MONTH(B846)</f>
        <v/>
      </c>
      <c r="D846" s="25" t="inlineStr">
        <is>
          <t>South</t>
        </is>
      </c>
      <c r="E846" s="25" t="inlineStr">
        <is>
          <t>Technology</t>
        </is>
      </c>
      <c r="F846" s="25" t="inlineStr">
        <is>
          <t>Wireless Mouse</t>
        </is>
      </c>
      <c r="G846" s="25" t="n">
        <v>1</v>
      </c>
      <c r="H846" s="27" t="n">
        <v>1200</v>
      </c>
      <c r="I846" s="28" t="n">
        <v>0</v>
      </c>
      <c r="J846" s="27" t="n">
        <v>650</v>
      </c>
      <c r="K846" s="27">
        <f>G846*H846*(1-I846)</f>
        <v/>
      </c>
      <c r="L846" s="27">
        <f>K846-G846*J846</f>
        <v/>
      </c>
    </row>
    <row r="847">
      <c r="A847" s="25" t="inlineStr">
        <is>
          <t>ORD-11077</t>
        </is>
      </c>
      <c r="B847" s="26" t="n">
        <v>45944</v>
      </c>
      <c r="C847" s="25">
        <f>MONTH(B847)</f>
        <v/>
      </c>
      <c r="D847" s="25" t="inlineStr">
        <is>
          <t>North</t>
        </is>
      </c>
      <c r="E847" s="25" t="inlineStr">
        <is>
          <t>Accessories</t>
        </is>
      </c>
      <c r="F847" s="25" t="inlineStr">
        <is>
          <t>USB-C Hub</t>
        </is>
      </c>
      <c r="G847" s="25" t="n">
        <v>3</v>
      </c>
      <c r="H847" s="27" t="n">
        <v>1800</v>
      </c>
      <c r="I847" s="28" t="n">
        <v>0.05</v>
      </c>
      <c r="J847" s="27" t="n">
        <v>980</v>
      </c>
      <c r="K847" s="27">
        <f>G847*H847*(1-I847)</f>
        <v/>
      </c>
      <c r="L847" s="27">
        <f>K847-G847*J847</f>
        <v/>
      </c>
    </row>
    <row r="848">
      <c r="A848" s="25" t="inlineStr">
        <is>
          <t>ORD-11097</t>
        </is>
      </c>
      <c r="B848" s="26" t="n">
        <v>45944</v>
      </c>
      <c r="C848" s="25">
        <f>MONTH(B848)</f>
        <v/>
      </c>
      <c r="D848" s="25" t="inlineStr">
        <is>
          <t>South</t>
        </is>
      </c>
      <c r="E848" s="25" t="inlineStr">
        <is>
          <t>Office Supplies</t>
        </is>
      </c>
      <c r="F848" s="25" t="inlineStr">
        <is>
          <t>Printer Paper Box</t>
        </is>
      </c>
      <c r="G848" s="25" t="n">
        <v>1</v>
      </c>
      <c r="H848" s="27" t="n">
        <v>1600</v>
      </c>
      <c r="I848" s="28" t="n">
        <v>0</v>
      </c>
      <c r="J848" s="27" t="n">
        <v>1050</v>
      </c>
      <c r="K848" s="27">
        <f>G848*H848*(1-I848)</f>
        <v/>
      </c>
      <c r="L848" s="27">
        <f>K848-G848*J848</f>
        <v/>
      </c>
    </row>
    <row r="849">
      <c r="A849" s="25" t="inlineStr">
        <is>
          <t>ORD-10099</t>
        </is>
      </c>
      <c r="B849" s="26" t="n">
        <v>45945</v>
      </c>
      <c r="C849" s="25">
        <f>MONTH(B849)</f>
        <v/>
      </c>
      <c r="D849" s="25" t="inlineStr">
        <is>
          <t>West</t>
        </is>
      </c>
      <c r="E849" s="25" t="inlineStr">
        <is>
          <t>Accessories</t>
        </is>
      </c>
      <c r="F849" s="25" t="inlineStr">
        <is>
          <t>Webcam</t>
        </is>
      </c>
      <c r="G849" s="25" t="n">
        <v>2</v>
      </c>
      <c r="H849" s="27" t="n">
        <v>3200</v>
      </c>
      <c r="I849" s="28" t="n">
        <v>0.05</v>
      </c>
      <c r="J849" s="27" t="n">
        <v>1900</v>
      </c>
      <c r="K849" s="27">
        <f>G849*H849*(1-I849)</f>
        <v/>
      </c>
      <c r="L849" s="27">
        <f>K849-G849*J849</f>
        <v/>
      </c>
    </row>
    <row r="850">
      <c r="A850" s="25" t="inlineStr">
        <is>
          <t>ORD-10487</t>
        </is>
      </c>
      <c r="B850" s="26" t="n">
        <v>45945</v>
      </c>
      <c r="C850" s="25">
        <f>MONTH(B850)</f>
        <v/>
      </c>
      <c r="D850" s="25" t="inlineStr">
        <is>
          <t>South</t>
        </is>
      </c>
      <c r="E850" s="25" t="inlineStr">
        <is>
          <t>Technology</t>
        </is>
      </c>
      <c r="F850" s="25" t="inlineStr">
        <is>
          <t>Wireless Mouse</t>
        </is>
      </c>
      <c r="G850" s="25" t="n">
        <v>1</v>
      </c>
      <c r="H850" s="27" t="n">
        <v>1200</v>
      </c>
      <c r="I850" s="28" t="n">
        <v>0.05</v>
      </c>
      <c r="J850" s="27" t="n">
        <v>650</v>
      </c>
      <c r="K850" s="27">
        <f>G850*H850*(1-I850)</f>
        <v/>
      </c>
      <c r="L850" s="27">
        <f>K850-G850*J850</f>
        <v/>
      </c>
    </row>
    <row r="851">
      <c r="A851" s="25" t="inlineStr">
        <is>
          <t>ORD-10038</t>
        </is>
      </c>
      <c r="B851" s="26" t="n">
        <v>45946</v>
      </c>
      <c r="C851" s="25">
        <f>MONTH(B851)</f>
        <v/>
      </c>
      <c r="D851" s="25" t="inlineStr">
        <is>
          <t>West</t>
        </is>
      </c>
      <c r="E851" s="25" t="inlineStr">
        <is>
          <t>Office Supplies</t>
        </is>
      </c>
      <c r="F851" s="25" t="inlineStr">
        <is>
          <t>Desk Organizer</t>
        </is>
      </c>
      <c r="G851" s="25" t="n">
        <v>1</v>
      </c>
      <c r="H851" s="27" t="n">
        <v>850</v>
      </c>
      <c r="I851" s="28" t="n">
        <v>0</v>
      </c>
      <c r="J851" s="27" t="n">
        <v>420</v>
      </c>
      <c r="K851" s="27">
        <f>G851*H851*(1-I851)</f>
        <v/>
      </c>
      <c r="L851" s="27">
        <f>K851-G851*J851</f>
        <v/>
      </c>
    </row>
    <row r="852">
      <c r="A852" s="25" t="inlineStr">
        <is>
          <t>ORD-10232</t>
        </is>
      </c>
      <c r="B852" s="26" t="n">
        <v>45946</v>
      </c>
      <c r="C852" s="25">
        <f>MONTH(B852)</f>
        <v/>
      </c>
      <c r="D852" s="25" t="inlineStr">
        <is>
          <t>South</t>
        </is>
      </c>
      <c r="E852" s="25" t="inlineStr">
        <is>
          <t>Office Supplies</t>
        </is>
      </c>
      <c r="F852" s="25" t="inlineStr">
        <is>
          <t>Printer Paper Box</t>
        </is>
      </c>
      <c r="G852" s="25" t="n">
        <v>4</v>
      </c>
      <c r="H852" s="27" t="n">
        <v>1600</v>
      </c>
      <c r="I852" s="28" t="n">
        <v>0</v>
      </c>
      <c r="J852" s="27" t="n">
        <v>1050</v>
      </c>
      <c r="K852" s="27">
        <f>G852*H852*(1-I852)</f>
        <v/>
      </c>
      <c r="L852" s="27">
        <f>K852-G852*J852</f>
        <v/>
      </c>
    </row>
    <row r="853">
      <c r="A853" s="25" t="inlineStr">
        <is>
          <t>ORD-10577</t>
        </is>
      </c>
      <c r="B853" s="26" t="n">
        <v>45946</v>
      </c>
      <c r="C853" s="25">
        <f>MONTH(B853)</f>
        <v/>
      </c>
      <c r="D853" s="25" t="inlineStr">
        <is>
          <t>South</t>
        </is>
      </c>
      <c r="E853" s="25" t="inlineStr">
        <is>
          <t>Office Supplies</t>
        </is>
      </c>
      <c r="F853" s="25" t="inlineStr">
        <is>
          <t>Desk Organizer</t>
        </is>
      </c>
      <c r="G853" s="25" t="n">
        <v>1</v>
      </c>
      <c r="H853" s="27" t="n">
        <v>850</v>
      </c>
      <c r="I853" s="28" t="n">
        <v>0.05</v>
      </c>
      <c r="J853" s="27" t="n">
        <v>420</v>
      </c>
      <c r="K853" s="27">
        <f>G853*H853*(1-I853)</f>
        <v/>
      </c>
      <c r="L853" s="27">
        <f>K853-G853*J853</f>
        <v/>
      </c>
    </row>
    <row r="854">
      <c r="A854" s="25" t="inlineStr">
        <is>
          <t>ORD-10938</t>
        </is>
      </c>
      <c r="B854" s="26" t="n">
        <v>45946</v>
      </c>
      <c r="C854" s="25">
        <f>MONTH(B854)</f>
        <v/>
      </c>
      <c r="D854" s="25" t="inlineStr">
        <is>
          <t>South</t>
        </is>
      </c>
      <c r="E854" s="25" t="inlineStr">
        <is>
          <t>Office Supplies</t>
        </is>
      </c>
      <c r="F854" s="25" t="inlineStr">
        <is>
          <t>Printer Paper Box</t>
        </is>
      </c>
      <c r="G854" s="25" t="n">
        <v>5</v>
      </c>
      <c r="H854" s="27" t="n">
        <v>1600</v>
      </c>
      <c r="I854" s="28" t="n">
        <v>0.1</v>
      </c>
      <c r="J854" s="27" t="n">
        <v>1050</v>
      </c>
      <c r="K854" s="27">
        <f>G854*H854*(1-I854)</f>
        <v/>
      </c>
      <c r="L854" s="27">
        <f>K854-G854*J854</f>
        <v/>
      </c>
    </row>
    <row r="855">
      <c r="A855" s="25" t="inlineStr">
        <is>
          <t>ORD-10566</t>
        </is>
      </c>
      <c r="B855" s="26" t="n">
        <v>45947</v>
      </c>
      <c r="C855" s="25">
        <f>MONTH(B855)</f>
        <v/>
      </c>
      <c r="D855" s="25" t="inlineStr">
        <is>
          <t>West</t>
        </is>
      </c>
      <c r="E855" s="25" t="inlineStr">
        <is>
          <t>Office Supplies</t>
        </is>
      </c>
      <c r="F855" s="25" t="inlineStr">
        <is>
          <t>Notebook Set</t>
        </is>
      </c>
      <c r="G855" s="25" t="n">
        <v>6</v>
      </c>
      <c r="H855" s="27" t="n">
        <v>450</v>
      </c>
      <c r="I855" s="28" t="n">
        <v>0</v>
      </c>
      <c r="J855" s="27" t="n">
        <v>190</v>
      </c>
      <c r="K855" s="27">
        <f>G855*H855*(1-I855)</f>
        <v/>
      </c>
      <c r="L855" s="27">
        <f>K855-G855*J855</f>
        <v/>
      </c>
    </row>
    <row r="856">
      <c r="A856" s="25" t="inlineStr">
        <is>
          <t>ORD-11139</t>
        </is>
      </c>
      <c r="B856" s="26" t="n">
        <v>45947</v>
      </c>
      <c r="C856" s="25">
        <f>MONTH(B856)</f>
        <v/>
      </c>
      <c r="D856" s="25" t="inlineStr">
        <is>
          <t>South</t>
        </is>
      </c>
      <c r="E856" s="25" t="inlineStr">
        <is>
          <t>Office Supplies</t>
        </is>
      </c>
      <c r="F856" s="25" t="inlineStr">
        <is>
          <t>Notebook Set</t>
        </is>
      </c>
      <c r="G856" s="25" t="n">
        <v>2</v>
      </c>
      <c r="H856" s="27" t="n">
        <v>450</v>
      </c>
      <c r="I856" s="28" t="n">
        <v>0.15</v>
      </c>
      <c r="J856" s="27" t="n">
        <v>190</v>
      </c>
      <c r="K856" s="27">
        <f>G856*H856*(1-I856)</f>
        <v/>
      </c>
      <c r="L856" s="27">
        <f>K856-G856*J856</f>
        <v/>
      </c>
    </row>
    <row r="857">
      <c r="A857" s="25" t="inlineStr">
        <is>
          <t>ORD-11195</t>
        </is>
      </c>
      <c r="B857" s="26" t="n">
        <v>45947</v>
      </c>
      <c r="C857" s="25">
        <f>MONTH(B857)</f>
        <v/>
      </c>
      <c r="D857" s="25" t="inlineStr">
        <is>
          <t>West</t>
        </is>
      </c>
      <c r="E857" s="25" t="inlineStr">
        <is>
          <t>Office Supplies</t>
        </is>
      </c>
      <c r="F857" s="25" t="inlineStr">
        <is>
          <t>Desk Organizer</t>
        </is>
      </c>
      <c r="G857" s="25" t="n">
        <v>3</v>
      </c>
      <c r="H857" s="27" t="n">
        <v>850</v>
      </c>
      <c r="I857" s="28" t="n">
        <v>0</v>
      </c>
      <c r="J857" s="27" t="n">
        <v>420</v>
      </c>
      <c r="K857" s="27">
        <f>G857*H857*(1-I857)</f>
        <v/>
      </c>
      <c r="L857" s="27">
        <f>K857-G857*J857</f>
        <v/>
      </c>
    </row>
    <row r="858">
      <c r="A858" s="25" t="inlineStr">
        <is>
          <t>ORD-10372</t>
        </is>
      </c>
      <c r="B858" s="26" t="n">
        <v>45948</v>
      </c>
      <c r="C858" s="25">
        <f>MONTH(B858)</f>
        <v/>
      </c>
      <c r="D858" s="25" t="inlineStr">
        <is>
          <t>West</t>
        </is>
      </c>
      <c r="E858" s="25" t="inlineStr">
        <is>
          <t>Office Supplies</t>
        </is>
      </c>
      <c r="F858" s="25" t="inlineStr">
        <is>
          <t>Notebook Set</t>
        </is>
      </c>
      <c r="G858" s="25" t="n">
        <v>1</v>
      </c>
      <c r="H858" s="27" t="n">
        <v>450</v>
      </c>
      <c r="I858" s="28" t="n">
        <v>0.2</v>
      </c>
      <c r="J858" s="27" t="n">
        <v>190</v>
      </c>
      <c r="K858" s="27">
        <f>G858*H858*(1-I858)</f>
        <v/>
      </c>
      <c r="L858" s="27">
        <f>K858-G858*J858</f>
        <v/>
      </c>
    </row>
    <row r="859">
      <c r="A859" s="25" t="inlineStr">
        <is>
          <t>ORD-10576</t>
        </is>
      </c>
      <c r="B859" s="26" t="n">
        <v>45948</v>
      </c>
      <c r="C859" s="25">
        <f>MONTH(B859)</f>
        <v/>
      </c>
      <c r="D859" s="25" t="inlineStr">
        <is>
          <t>West</t>
        </is>
      </c>
      <c r="E859" s="25" t="inlineStr">
        <is>
          <t>Accessories</t>
        </is>
      </c>
      <c r="F859" s="25" t="inlineStr">
        <is>
          <t>USB-C Hub</t>
        </is>
      </c>
      <c r="G859" s="25" t="n">
        <v>1</v>
      </c>
      <c r="H859" s="27" t="n">
        <v>1800</v>
      </c>
      <c r="I859" s="28" t="n">
        <v>0</v>
      </c>
      <c r="J859" s="27" t="n">
        <v>980</v>
      </c>
      <c r="K859" s="27">
        <f>G859*H859*(1-I859)</f>
        <v/>
      </c>
      <c r="L859" s="27">
        <f>K859-G859*J859</f>
        <v/>
      </c>
    </row>
    <row r="860">
      <c r="A860" s="25" t="inlineStr">
        <is>
          <t>ORD-11085</t>
        </is>
      </c>
      <c r="B860" s="26" t="n">
        <v>45948</v>
      </c>
      <c r="C860" s="25">
        <f>MONTH(B860)</f>
        <v/>
      </c>
      <c r="D860" s="25" t="inlineStr">
        <is>
          <t>South</t>
        </is>
      </c>
      <c r="E860" s="25" t="inlineStr">
        <is>
          <t>Technology</t>
        </is>
      </c>
      <c r="F860" s="25" t="inlineStr">
        <is>
          <t>Mechanical Keyboard</t>
        </is>
      </c>
      <c r="G860" s="25" t="n">
        <v>2</v>
      </c>
      <c r="H860" s="27" t="n">
        <v>4200</v>
      </c>
      <c r="I860" s="28" t="n">
        <v>0</v>
      </c>
      <c r="J860" s="27" t="n">
        <v>2500</v>
      </c>
      <c r="K860" s="27">
        <f>G860*H860*(1-I860)</f>
        <v/>
      </c>
      <c r="L860" s="27">
        <f>K860-G860*J860</f>
        <v/>
      </c>
    </row>
    <row r="861">
      <c r="A861" s="25" t="inlineStr">
        <is>
          <t>ORD-10195</t>
        </is>
      </c>
      <c r="B861" s="26" t="n">
        <v>45949</v>
      </c>
      <c r="C861" s="25">
        <f>MONTH(B861)</f>
        <v/>
      </c>
      <c r="D861" s="25" t="inlineStr">
        <is>
          <t>West</t>
        </is>
      </c>
      <c r="E861" s="25" t="inlineStr">
        <is>
          <t>Accessories</t>
        </is>
      </c>
      <c r="F861" s="25" t="inlineStr">
        <is>
          <t>USB-C Hub</t>
        </is>
      </c>
      <c r="G861" s="25" t="n">
        <v>3</v>
      </c>
      <c r="H861" s="27" t="n">
        <v>1800</v>
      </c>
      <c r="I861" s="28" t="n">
        <v>0</v>
      </c>
      <c r="J861" s="27" t="n">
        <v>980</v>
      </c>
      <c r="K861" s="27">
        <f>G861*H861*(1-I861)</f>
        <v/>
      </c>
      <c r="L861" s="27">
        <f>K861-G861*J861</f>
        <v/>
      </c>
    </row>
    <row r="862">
      <c r="A862" s="25" t="inlineStr">
        <is>
          <t>ORD-10724</t>
        </is>
      </c>
      <c r="B862" s="26" t="n">
        <v>45949</v>
      </c>
      <c r="C862" s="25">
        <f>MONTH(B862)</f>
        <v/>
      </c>
      <c r="D862" s="25" t="inlineStr">
        <is>
          <t>East</t>
        </is>
      </c>
      <c r="E862" s="25" t="inlineStr">
        <is>
          <t>Accessories</t>
        </is>
      </c>
      <c r="F862" s="25" t="inlineStr">
        <is>
          <t>USB-C Hub</t>
        </is>
      </c>
      <c r="G862" s="25" t="n">
        <v>4</v>
      </c>
      <c r="H862" s="27" t="n">
        <v>1800</v>
      </c>
      <c r="I862" s="28" t="n">
        <v>0</v>
      </c>
      <c r="J862" s="27" t="n">
        <v>980</v>
      </c>
      <c r="K862" s="27">
        <f>G862*H862*(1-I862)</f>
        <v/>
      </c>
      <c r="L862" s="27">
        <f>K862-G862*J862</f>
        <v/>
      </c>
    </row>
    <row r="863">
      <c r="A863" s="25" t="inlineStr">
        <is>
          <t>ORD-10798</t>
        </is>
      </c>
      <c r="B863" s="26" t="n">
        <v>45949</v>
      </c>
      <c r="C863" s="25">
        <f>MONTH(B863)</f>
        <v/>
      </c>
      <c r="D863" s="25" t="inlineStr">
        <is>
          <t>North</t>
        </is>
      </c>
      <c r="E863" s="25" t="inlineStr">
        <is>
          <t>Office Supplies</t>
        </is>
      </c>
      <c r="F863" s="25" t="inlineStr">
        <is>
          <t>Printer Paper Box</t>
        </is>
      </c>
      <c r="G863" s="25" t="n">
        <v>2</v>
      </c>
      <c r="H863" s="27" t="n">
        <v>1600</v>
      </c>
      <c r="I863" s="28" t="n">
        <v>0.1</v>
      </c>
      <c r="J863" s="27" t="n">
        <v>1050</v>
      </c>
      <c r="K863" s="27">
        <f>G863*H863*(1-I863)</f>
        <v/>
      </c>
      <c r="L863" s="27">
        <f>K863-G863*J863</f>
        <v/>
      </c>
    </row>
    <row r="864">
      <c r="A864" s="25" t="inlineStr">
        <is>
          <t>ORD-10906</t>
        </is>
      </c>
      <c r="B864" s="26" t="n">
        <v>45949</v>
      </c>
      <c r="C864" s="25">
        <f>MONTH(B864)</f>
        <v/>
      </c>
      <c r="D864" s="25" t="inlineStr">
        <is>
          <t>West</t>
        </is>
      </c>
      <c r="E864" s="25" t="inlineStr">
        <is>
          <t>Accessories</t>
        </is>
      </c>
      <c r="F864" s="25" t="inlineStr">
        <is>
          <t>USB-C Hub</t>
        </is>
      </c>
      <c r="G864" s="25" t="n">
        <v>2</v>
      </c>
      <c r="H864" s="27" t="n">
        <v>1800</v>
      </c>
      <c r="I864" s="28" t="n">
        <v>0</v>
      </c>
      <c r="J864" s="27" t="n">
        <v>980</v>
      </c>
      <c r="K864" s="27">
        <f>G864*H864*(1-I864)</f>
        <v/>
      </c>
      <c r="L864" s="27">
        <f>K864-G864*J864</f>
        <v/>
      </c>
    </row>
    <row r="865">
      <c r="A865" s="25" t="inlineStr">
        <is>
          <t>ORD-11106</t>
        </is>
      </c>
      <c r="B865" s="26" t="n">
        <v>45949</v>
      </c>
      <c r="C865" s="25">
        <f>MONTH(B865)</f>
        <v/>
      </c>
      <c r="D865" s="25" t="inlineStr">
        <is>
          <t>South</t>
        </is>
      </c>
      <c r="E865" s="25" t="inlineStr">
        <is>
          <t>Accessories</t>
        </is>
      </c>
      <c r="F865" s="25" t="inlineStr">
        <is>
          <t>USB-C Hub</t>
        </is>
      </c>
      <c r="G865" s="25" t="n">
        <v>1</v>
      </c>
      <c r="H865" s="27" t="n">
        <v>1800</v>
      </c>
      <c r="I865" s="28" t="n">
        <v>0</v>
      </c>
      <c r="J865" s="27" t="n">
        <v>980</v>
      </c>
      <c r="K865" s="27">
        <f>G865*H865*(1-I865)</f>
        <v/>
      </c>
      <c r="L865" s="27">
        <f>K865-G865*J865</f>
        <v/>
      </c>
    </row>
    <row r="866">
      <c r="A866" s="25" t="inlineStr">
        <is>
          <t>ORD-11187</t>
        </is>
      </c>
      <c r="B866" s="26" t="n">
        <v>45949</v>
      </c>
      <c r="C866" s="25">
        <f>MONTH(B866)</f>
        <v/>
      </c>
      <c r="D866" s="25" t="inlineStr">
        <is>
          <t>West</t>
        </is>
      </c>
      <c r="E866" s="25" t="inlineStr">
        <is>
          <t>Office Supplies</t>
        </is>
      </c>
      <c r="F866" s="25" t="inlineStr">
        <is>
          <t>Notebook Set</t>
        </is>
      </c>
      <c r="G866" s="25" t="n">
        <v>6</v>
      </c>
      <c r="H866" s="27" t="n">
        <v>450</v>
      </c>
      <c r="I866" s="28" t="n">
        <v>0.15</v>
      </c>
      <c r="J866" s="27" t="n">
        <v>190</v>
      </c>
      <c r="K866" s="27">
        <f>G866*H866*(1-I866)</f>
        <v/>
      </c>
      <c r="L866" s="27">
        <f>K866-G866*J866</f>
        <v/>
      </c>
    </row>
    <row r="867">
      <c r="A867" s="25" t="inlineStr">
        <is>
          <t>ORD-10508</t>
        </is>
      </c>
      <c r="B867" s="26" t="n">
        <v>45950</v>
      </c>
      <c r="C867" s="25">
        <f>MONTH(B867)</f>
        <v/>
      </c>
      <c r="D867" s="25" t="inlineStr">
        <is>
          <t>East</t>
        </is>
      </c>
      <c r="E867" s="25" t="inlineStr">
        <is>
          <t>Accessories</t>
        </is>
      </c>
      <c r="F867" s="25" t="inlineStr">
        <is>
          <t>Headphones</t>
        </is>
      </c>
      <c r="G867" s="25" t="n">
        <v>3</v>
      </c>
      <c r="H867" s="27" t="n">
        <v>4500</v>
      </c>
      <c r="I867" s="28" t="n">
        <v>0.05</v>
      </c>
      <c r="J867" s="27" t="n">
        <v>2600</v>
      </c>
      <c r="K867" s="27">
        <f>G867*H867*(1-I867)</f>
        <v/>
      </c>
      <c r="L867" s="27">
        <f>K867-G867*J867</f>
        <v/>
      </c>
    </row>
    <row r="868">
      <c r="A868" s="25" t="inlineStr">
        <is>
          <t>ORD-10673</t>
        </is>
      </c>
      <c r="B868" s="26" t="n">
        <v>45950</v>
      </c>
      <c r="C868" s="25">
        <f>MONTH(B868)</f>
        <v/>
      </c>
      <c r="D868" s="25" t="inlineStr">
        <is>
          <t>South</t>
        </is>
      </c>
      <c r="E868" s="25" t="inlineStr">
        <is>
          <t>Office Supplies</t>
        </is>
      </c>
      <c r="F868" s="25" t="inlineStr">
        <is>
          <t>Notebook Set</t>
        </is>
      </c>
      <c r="G868" s="25" t="n">
        <v>4</v>
      </c>
      <c r="H868" s="27" t="n">
        <v>450</v>
      </c>
      <c r="I868" s="28" t="n">
        <v>0.2</v>
      </c>
      <c r="J868" s="27" t="n">
        <v>190</v>
      </c>
      <c r="K868" s="27">
        <f>G868*H868*(1-I868)</f>
        <v/>
      </c>
      <c r="L868" s="27">
        <f>K868-G868*J868</f>
        <v/>
      </c>
    </row>
    <row r="869">
      <c r="A869" s="25" t="inlineStr">
        <is>
          <t>ORD-10683</t>
        </is>
      </c>
      <c r="B869" s="26" t="n">
        <v>45950</v>
      </c>
      <c r="C869" s="25">
        <f>MONTH(B869)</f>
        <v/>
      </c>
      <c r="D869" s="25" t="inlineStr">
        <is>
          <t>South</t>
        </is>
      </c>
      <c r="E869" s="25" t="inlineStr">
        <is>
          <t>Furniture</t>
        </is>
      </c>
      <c r="F869" s="25" t="inlineStr">
        <is>
          <t>Bookshelf</t>
        </is>
      </c>
      <c r="G869" s="25" t="n">
        <v>2</v>
      </c>
      <c r="H869" s="27" t="n">
        <v>6200</v>
      </c>
      <c r="I869" s="28" t="n">
        <v>0.15</v>
      </c>
      <c r="J869" s="27" t="n">
        <v>4100</v>
      </c>
      <c r="K869" s="27">
        <f>G869*H869*(1-I869)</f>
        <v/>
      </c>
      <c r="L869" s="27">
        <f>K869-G869*J869</f>
        <v/>
      </c>
    </row>
    <row r="870">
      <c r="A870" s="25" t="inlineStr">
        <is>
          <t>ORD-10945</t>
        </is>
      </c>
      <c r="B870" s="26" t="n">
        <v>45950</v>
      </c>
      <c r="C870" s="25">
        <f>MONTH(B870)</f>
        <v/>
      </c>
      <c r="D870" s="25" t="inlineStr">
        <is>
          <t>South</t>
        </is>
      </c>
      <c r="E870" s="25" t="inlineStr">
        <is>
          <t>Accessories</t>
        </is>
      </c>
      <c r="F870" s="25" t="inlineStr">
        <is>
          <t>Headphones</t>
        </is>
      </c>
      <c r="G870" s="25" t="n">
        <v>2</v>
      </c>
      <c r="H870" s="27" t="n">
        <v>4500</v>
      </c>
      <c r="I870" s="28" t="n">
        <v>0.05</v>
      </c>
      <c r="J870" s="27" t="n">
        <v>2600</v>
      </c>
      <c r="K870" s="27">
        <f>G870*H870*(1-I870)</f>
        <v/>
      </c>
      <c r="L870" s="27">
        <f>K870-G870*J870</f>
        <v/>
      </c>
    </row>
    <row r="871">
      <c r="A871" s="25" t="inlineStr">
        <is>
          <t>ORD-10020</t>
        </is>
      </c>
      <c r="B871" s="26" t="n">
        <v>45951</v>
      </c>
      <c r="C871" s="25">
        <f>MONTH(B871)</f>
        <v/>
      </c>
      <c r="D871" s="25" t="inlineStr">
        <is>
          <t>West</t>
        </is>
      </c>
      <c r="E871" s="25" t="inlineStr">
        <is>
          <t>Office Supplies</t>
        </is>
      </c>
      <c r="F871" s="25" t="inlineStr">
        <is>
          <t>Notebook Set</t>
        </is>
      </c>
      <c r="G871" s="25" t="n">
        <v>4</v>
      </c>
      <c r="H871" s="27" t="n">
        <v>450</v>
      </c>
      <c r="I871" s="28" t="n">
        <v>0.1</v>
      </c>
      <c r="J871" s="27" t="n">
        <v>190</v>
      </c>
      <c r="K871" s="27">
        <f>G871*H871*(1-I871)</f>
        <v/>
      </c>
      <c r="L871" s="27">
        <f>K871-G871*J871</f>
        <v/>
      </c>
    </row>
    <row r="872">
      <c r="A872" s="25" t="inlineStr">
        <is>
          <t>ORD-10299</t>
        </is>
      </c>
      <c r="B872" s="26" t="n">
        <v>45951</v>
      </c>
      <c r="C872" s="25">
        <f>MONTH(B872)</f>
        <v/>
      </c>
      <c r="D872" s="25" t="inlineStr">
        <is>
          <t>North</t>
        </is>
      </c>
      <c r="E872" s="25" t="inlineStr">
        <is>
          <t>Technology</t>
        </is>
      </c>
      <c r="F872" s="25" t="inlineStr">
        <is>
          <t>Wireless Mouse</t>
        </is>
      </c>
      <c r="G872" s="25" t="n">
        <v>5</v>
      </c>
      <c r="H872" s="27" t="n">
        <v>1200</v>
      </c>
      <c r="I872" s="28" t="n">
        <v>0</v>
      </c>
      <c r="J872" s="27" t="n">
        <v>650</v>
      </c>
      <c r="K872" s="27">
        <f>G872*H872*(1-I872)</f>
        <v/>
      </c>
      <c r="L872" s="27">
        <f>K872-G872*J872</f>
        <v/>
      </c>
    </row>
    <row r="873">
      <c r="A873" s="25" t="inlineStr">
        <is>
          <t>ORD-10316</t>
        </is>
      </c>
      <c r="B873" s="26" t="n">
        <v>45951</v>
      </c>
      <c r="C873" s="25">
        <f>MONTH(B873)</f>
        <v/>
      </c>
      <c r="D873" s="25" t="inlineStr">
        <is>
          <t>South</t>
        </is>
      </c>
      <c r="E873" s="25" t="inlineStr">
        <is>
          <t>Accessories</t>
        </is>
      </c>
      <c r="F873" s="25" t="inlineStr">
        <is>
          <t>Webcam</t>
        </is>
      </c>
      <c r="G873" s="25" t="n">
        <v>3</v>
      </c>
      <c r="H873" s="27" t="n">
        <v>3200</v>
      </c>
      <c r="I873" s="28" t="n">
        <v>0.1</v>
      </c>
      <c r="J873" s="27" t="n">
        <v>1900</v>
      </c>
      <c r="K873" s="27">
        <f>G873*H873*(1-I873)</f>
        <v/>
      </c>
      <c r="L873" s="27">
        <f>K873-G873*J873</f>
        <v/>
      </c>
    </row>
    <row r="874">
      <c r="A874" s="25" t="inlineStr">
        <is>
          <t>ORD-10787</t>
        </is>
      </c>
      <c r="B874" s="26" t="n">
        <v>45951</v>
      </c>
      <c r="C874" s="25">
        <f>MONTH(B874)</f>
        <v/>
      </c>
      <c r="D874" s="25" t="inlineStr">
        <is>
          <t>South</t>
        </is>
      </c>
      <c r="E874" s="25" t="inlineStr">
        <is>
          <t>Accessories</t>
        </is>
      </c>
      <c r="F874" s="25" t="inlineStr">
        <is>
          <t>Webcam</t>
        </is>
      </c>
      <c r="G874" s="25" t="n">
        <v>3</v>
      </c>
      <c r="H874" s="27" t="n">
        <v>3200</v>
      </c>
      <c r="I874" s="28" t="n">
        <v>0</v>
      </c>
      <c r="J874" s="27" t="n">
        <v>1900</v>
      </c>
      <c r="K874" s="27">
        <f>G874*H874*(1-I874)</f>
        <v/>
      </c>
      <c r="L874" s="27">
        <f>K874-G874*J874</f>
        <v/>
      </c>
    </row>
    <row r="875">
      <c r="A875" s="25" t="inlineStr">
        <is>
          <t>ORD-11103</t>
        </is>
      </c>
      <c r="B875" s="26" t="n">
        <v>45951</v>
      </c>
      <c r="C875" s="25">
        <f>MONTH(B875)</f>
        <v/>
      </c>
      <c r="D875" s="25" t="inlineStr">
        <is>
          <t>South</t>
        </is>
      </c>
      <c r="E875" s="25" t="inlineStr">
        <is>
          <t>Accessories</t>
        </is>
      </c>
      <c r="F875" s="25" t="inlineStr">
        <is>
          <t>Webcam</t>
        </is>
      </c>
      <c r="G875" s="25" t="n">
        <v>2</v>
      </c>
      <c r="H875" s="27" t="n">
        <v>3200</v>
      </c>
      <c r="I875" s="28" t="n">
        <v>0.15</v>
      </c>
      <c r="J875" s="27" t="n">
        <v>1900</v>
      </c>
      <c r="K875" s="27">
        <f>G875*H875*(1-I875)</f>
        <v/>
      </c>
      <c r="L875" s="27">
        <f>K875-G875*J875</f>
        <v/>
      </c>
    </row>
    <row r="876">
      <c r="A876" s="25" t="inlineStr">
        <is>
          <t>ORD-11118</t>
        </is>
      </c>
      <c r="B876" s="26" t="n">
        <v>45951</v>
      </c>
      <c r="C876" s="25">
        <f>MONTH(B876)</f>
        <v/>
      </c>
      <c r="D876" s="25" t="inlineStr">
        <is>
          <t>North</t>
        </is>
      </c>
      <c r="E876" s="25" t="inlineStr">
        <is>
          <t>Office Supplies</t>
        </is>
      </c>
      <c r="F876" s="25" t="inlineStr">
        <is>
          <t>Printer Paper Box</t>
        </is>
      </c>
      <c r="G876" s="25" t="n">
        <v>5</v>
      </c>
      <c r="H876" s="27" t="n">
        <v>1600</v>
      </c>
      <c r="I876" s="28" t="n">
        <v>0</v>
      </c>
      <c r="J876" s="27" t="n">
        <v>1050</v>
      </c>
      <c r="K876" s="27">
        <f>G876*H876*(1-I876)</f>
        <v/>
      </c>
      <c r="L876" s="27">
        <f>K876-G876*J876</f>
        <v/>
      </c>
    </row>
    <row r="877">
      <c r="A877" s="25" t="inlineStr">
        <is>
          <t>ORD-10162</t>
        </is>
      </c>
      <c r="B877" s="26" t="n">
        <v>45952</v>
      </c>
      <c r="C877" s="25">
        <f>MONTH(B877)</f>
        <v/>
      </c>
      <c r="D877" s="25" t="inlineStr">
        <is>
          <t>South</t>
        </is>
      </c>
      <c r="E877" s="25" t="inlineStr">
        <is>
          <t>Technology</t>
        </is>
      </c>
      <c r="F877" s="25" t="inlineStr">
        <is>
          <t>Mechanical Keyboard</t>
        </is>
      </c>
      <c r="G877" s="25" t="n">
        <v>2</v>
      </c>
      <c r="H877" s="27" t="n">
        <v>4200</v>
      </c>
      <c r="I877" s="28" t="n">
        <v>0</v>
      </c>
      <c r="J877" s="27" t="n">
        <v>2500</v>
      </c>
      <c r="K877" s="27">
        <f>G877*H877*(1-I877)</f>
        <v/>
      </c>
      <c r="L877" s="27">
        <f>K877-G877*J877</f>
        <v/>
      </c>
    </row>
    <row r="878">
      <c r="A878" s="25" t="inlineStr">
        <is>
          <t>ORD-10511</t>
        </is>
      </c>
      <c r="B878" s="26" t="n">
        <v>45952</v>
      </c>
      <c r="C878" s="25">
        <f>MONTH(B878)</f>
        <v/>
      </c>
      <c r="D878" s="25" t="inlineStr">
        <is>
          <t>East</t>
        </is>
      </c>
      <c r="E878" s="25" t="inlineStr">
        <is>
          <t>Technology</t>
        </is>
      </c>
      <c r="F878" s="25" t="inlineStr">
        <is>
          <t>Mechanical Keyboard</t>
        </is>
      </c>
      <c r="G878" s="25" t="n">
        <v>1</v>
      </c>
      <c r="H878" s="27" t="n">
        <v>4200</v>
      </c>
      <c r="I878" s="28" t="n">
        <v>0.15</v>
      </c>
      <c r="J878" s="27" t="n">
        <v>2500</v>
      </c>
      <c r="K878" s="27">
        <f>G878*H878*(1-I878)</f>
        <v/>
      </c>
      <c r="L878" s="27">
        <f>K878-G878*J878</f>
        <v/>
      </c>
    </row>
    <row r="879">
      <c r="A879" s="25" t="inlineStr">
        <is>
          <t>ORD-10654</t>
        </is>
      </c>
      <c r="B879" s="26" t="n">
        <v>45952</v>
      </c>
      <c r="C879" s="25">
        <f>MONTH(B879)</f>
        <v/>
      </c>
      <c r="D879" s="25" t="inlineStr">
        <is>
          <t>West</t>
        </is>
      </c>
      <c r="E879" s="25" t="inlineStr">
        <is>
          <t>Accessories</t>
        </is>
      </c>
      <c r="F879" s="25" t="inlineStr">
        <is>
          <t>USB-C Hub</t>
        </is>
      </c>
      <c r="G879" s="25" t="n">
        <v>4</v>
      </c>
      <c r="H879" s="27" t="n">
        <v>1800</v>
      </c>
      <c r="I879" s="28" t="n">
        <v>0</v>
      </c>
      <c r="J879" s="27" t="n">
        <v>980</v>
      </c>
      <c r="K879" s="27">
        <f>G879*H879*(1-I879)</f>
        <v/>
      </c>
      <c r="L879" s="27">
        <f>K879-G879*J879</f>
        <v/>
      </c>
    </row>
    <row r="880">
      <c r="A880" s="25" t="inlineStr">
        <is>
          <t>ORD-10994</t>
        </is>
      </c>
      <c r="B880" s="26" t="n">
        <v>45952</v>
      </c>
      <c r="C880" s="25">
        <f>MONTH(B880)</f>
        <v/>
      </c>
      <c r="D880" s="25" t="inlineStr">
        <is>
          <t>South</t>
        </is>
      </c>
      <c r="E880" s="25" t="inlineStr">
        <is>
          <t>Office Supplies</t>
        </is>
      </c>
      <c r="F880" s="25" t="inlineStr">
        <is>
          <t>Notebook Set</t>
        </is>
      </c>
      <c r="G880" s="25" t="n">
        <v>1</v>
      </c>
      <c r="H880" s="27" t="n">
        <v>450</v>
      </c>
      <c r="I880" s="28" t="n">
        <v>0.05</v>
      </c>
      <c r="J880" s="27" t="n">
        <v>190</v>
      </c>
      <c r="K880" s="27">
        <f>G880*H880*(1-I880)</f>
        <v/>
      </c>
      <c r="L880" s="27">
        <f>K880-G880*J880</f>
        <v/>
      </c>
    </row>
    <row r="881">
      <c r="A881" s="25" t="inlineStr">
        <is>
          <t>ORD-11090</t>
        </is>
      </c>
      <c r="B881" s="26" t="n">
        <v>45952</v>
      </c>
      <c r="C881" s="25">
        <f>MONTH(B881)</f>
        <v/>
      </c>
      <c r="D881" s="25" t="inlineStr">
        <is>
          <t>West</t>
        </is>
      </c>
      <c r="E881" s="25" t="inlineStr">
        <is>
          <t>Office Supplies</t>
        </is>
      </c>
      <c r="F881" s="25" t="inlineStr">
        <is>
          <t>Notebook Set</t>
        </is>
      </c>
      <c r="G881" s="25" t="n">
        <v>6</v>
      </c>
      <c r="H881" s="27" t="n">
        <v>450</v>
      </c>
      <c r="I881" s="28" t="n">
        <v>0.15</v>
      </c>
      <c r="J881" s="27" t="n">
        <v>190</v>
      </c>
      <c r="K881" s="27">
        <f>G881*H881*(1-I881)</f>
        <v/>
      </c>
      <c r="L881" s="27">
        <f>K881-G881*J881</f>
        <v/>
      </c>
    </row>
    <row r="882">
      <c r="A882" s="25" t="inlineStr">
        <is>
          <t>ORD-10600</t>
        </is>
      </c>
      <c r="B882" s="26" t="n">
        <v>45953</v>
      </c>
      <c r="C882" s="25">
        <f>MONTH(B882)</f>
        <v/>
      </c>
      <c r="D882" s="25" t="inlineStr">
        <is>
          <t>West</t>
        </is>
      </c>
      <c r="E882" s="25" t="inlineStr">
        <is>
          <t>Furniture</t>
        </is>
      </c>
      <c r="F882" s="25" t="inlineStr">
        <is>
          <t>Bookshelf</t>
        </is>
      </c>
      <c r="G882" s="25" t="n">
        <v>1</v>
      </c>
      <c r="H882" s="27" t="n">
        <v>6200</v>
      </c>
      <c r="I882" s="28" t="n">
        <v>0.2</v>
      </c>
      <c r="J882" s="27" t="n">
        <v>4100</v>
      </c>
      <c r="K882" s="27">
        <f>G882*H882*(1-I882)</f>
        <v/>
      </c>
      <c r="L882" s="27">
        <f>K882-G882*J882</f>
        <v/>
      </c>
    </row>
    <row r="883">
      <c r="A883" s="25" t="inlineStr">
        <is>
          <t>ORD-10904</t>
        </is>
      </c>
      <c r="B883" s="26" t="n">
        <v>45953</v>
      </c>
      <c r="C883" s="25">
        <f>MONTH(B883)</f>
        <v/>
      </c>
      <c r="D883" s="25" t="inlineStr">
        <is>
          <t>East</t>
        </is>
      </c>
      <c r="E883" s="25" t="inlineStr">
        <is>
          <t>Technology</t>
        </is>
      </c>
      <c r="F883" s="25" t="inlineStr">
        <is>
          <t>Wireless Mouse</t>
        </is>
      </c>
      <c r="G883" s="25" t="n">
        <v>1</v>
      </c>
      <c r="H883" s="27" t="n">
        <v>1200</v>
      </c>
      <c r="I883" s="28" t="n">
        <v>0</v>
      </c>
      <c r="J883" s="27" t="n">
        <v>650</v>
      </c>
      <c r="K883" s="27">
        <f>G883*H883*(1-I883)</f>
        <v/>
      </c>
      <c r="L883" s="27">
        <f>K883-G883*J883</f>
        <v/>
      </c>
    </row>
    <row r="884">
      <c r="A884" s="25" t="inlineStr">
        <is>
          <t>ORD-10767</t>
        </is>
      </c>
      <c r="B884" s="26" t="n">
        <v>45954</v>
      </c>
      <c r="C884" s="25">
        <f>MONTH(B884)</f>
        <v/>
      </c>
      <c r="D884" s="25" t="inlineStr">
        <is>
          <t>West</t>
        </is>
      </c>
      <c r="E884" s="25" t="inlineStr">
        <is>
          <t>Technology</t>
        </is>
      </c>
      <c r="F884" s="25" t="inlineStr">
        <is>
          <t>Mechanical Keyboard</t>
        </is>
      </c>
      <c r="G884" s="25" t="n">
        <v>1</v>
      </c>
      <c r="H884" s="27" t="n">
        <v>4200</v>
      </c>
      <c r="I884" s="28" t="n">
        <v>0</v>
      </c>
      <c r="J884" s="27" t="n">
        <v>2500</v>
      </c>
      <c r="K884" s="27">
        <f>G884*H884*(1-I884)</f>
        <v/>
      </c>
      <c r="L884" s="27">
        <f>K884-G884*J884</f>
        <v/>
      </c>
    </row>
    <row r="885">
      <c r="A885" s="25" t="inlineStr">
        <is>
          <t>ORD-10044</t>
        </is>
      </c>
      <c r="B885" s="26" t="n">
        <v>45955</v>
      </c>
      <c r="C885" s="25">
        <f>MONTH(B885)</f>
        <v/>
      </c>
      <c r="D885" s="25" t="inlineStr">
        <is>
          <t>East</t>
        </is>
      </c>
      <c r="E885" s="25" t="inlineStr">
        <is>
          <t>Office Supplies</t>
        </is>
      </c>
      <c r="F885" s="25" t="inlineStr">
        <is>
          <t>Printer Paper Box</t>
        </is>
      </c>
      <c r="G885" s="25" t="n">
        <v>6</v>
      </c>
      <c r="H885" s="27" t="n">
        <v>1600</v>
      </c>
      <c r="I885" s="28" t="n">
        <v>0</v>
      </c>
      <c r="J885" s="27" t="n">
        <v>1050</v>
      </c>
      <c r="K885" s="27">
        <f>G885*H885*(1-I885)</f>
        <v/>
      </c>
      <c r="L885" s="27">
        <f>K885-G885*J885</f>
        <v/>
      </c>
    </row>
    <row r="886">
      <c r="A886" s="25" t="inlineStr">
        <is>
          <t>ORD-10086</t>
        </is>
      </c>
      <c r="B886" s="26" t="n">
        <v>45955</v>
      </c>
      <c r="C886" s="25">
        <f>MONTH(B886)</f>
        <v/>
      </c>
      <c r="D886" s="25" t="inlineStr">
        <is>
          <t>North</t>
        </is>
      </c>
      <c r="E886" s="25" t="inlineStr">
        <is>
          <t>Furniture</t>
        </is>
      </c>
      <c r="F886" s="25" t="inlineStr">
        <is>
          <t>Office Chair</t>
        </is>
      </c>
      <c r="G886" s="25" t="n">
        <v>1</v>
      </c>
      <c r="H886" s="27" t="n">
        <v>8500</v>
      </c>
      <c r="I886" s="28" t="n">
        <v>0.05</v>
      </c>
      <c r="J886" s="27" t="n">
        <v>5600</v>
      </c>
      <c r="K886" s="27">
        <f>G886*H886*(1-I886)</f>
        <v/>
      </c>
      <c r="L886" s="27">
        <f>K886-G886*J886</f>
        <v/>
      </c>
    </row>
    <row r="887">
      <c r="A887" s="25" t="inlineStr">
        <is>
          <t>ORD-10941</t>
        </is>
      </c>
      <c r="B887" s="26" t="n">
        <v>45955</v>
      </c>
      <c r="C887" s="25">
        <f>MONTH(B887)</f>
        <v/>
      </c>
      <c r="D887" s="25" t="inlineStr">
        <is>
          <t>East</t>
        </is>
      </c>
      <c r="E887" s="25" t="inlineStr">
        <is>
          <t>Accessories</t>
        </is>
      </c>
      <c r="F887" s="25" t="inlineStr">
        <is>
          <t>Webcam</t>
        </is>
      </c>
      <c r="G887" s="25" t="n">
        <v>1</v>
      </c>
      <c r="H887" s="27" t="n">
        <v>3200</v>
      </c>
      <c r="I887" s="28" t="n">
        <v>0</v>
      </c>
      <c r="J887" s="27" t="n">
        <v>1900</v>
      </c>
      <c r="K887" s="27">
        <f>G887*H887*(1-I887)</f>
        <v/>
      </c>
      <c r="L887" s="27">
        <f>K887-G887*J887</f>
        <v/>
      </c>
    </row>
    <row r="888">
      <c r="A888" s="25" t="inlineStr">
        <is>
          <t>ORD-10953</t>
        </is>
      </c>
      <c r="B888" s="26" t="n">
        <v>45955</v>
      </c>
      <c r="C888" s="25">
        <f>MONTH(B888)</f>
        <v/>
      </c>
      <c r="D888" s="25" t="inlineStr">
        <is>
          <t>West</t>
        </is>
      </c>
      <c r="E888" s="25" t="inlineStr">
        <is>
          <t>Technology</t>
        </is>
      </c>
      <c r="F888" s="25" t="inlineStr">
        <is>
          <t>Wireless Mouse</t>
        </is>
      </c>
      <c r="G888" s="25" t="n">
        <v>2</v>
      </c>
      <c r="H888" s="27" t="n">
        <v>1200</v>
      </c>
      <c r="I888" s="28" t="n">
        <v>0</v>
      </c>
      <c r="J888" s="27" t="n">
        <v>650</v>
      </c>
      <c r="K888" s="27">
        <f>G888*H888*(1-I888)</f>
        <v/>
      </c>
      <c r="L888" s="27">
        <f>K888-G888*J888</f>
        <v/>
      </c>
    </row>
    <row r="889">
      <c r="A889" s="25" t="inlineStr">
        <is>
          <t>ORD-11174</t>
        </is>
      </c>
      <c r="B889" s="26" t="n">
        <v>45955</v>
      </c>
      <c r="C889" s="25">
        <f>MONTH(B889)</f>
        <v/>
      </c>
      <c r="D889" s="25" t="inlineStr">
        <is>
          <t>South</t>
        </is>
      </c>
      <c r="E889" s="25" t="inlineStr">
        <is>
          <t>Technology</t>
        </is>
      </c>
      <c r="F889" s="25" t="inlineStr">
        <is>
          <t>Monitor 24"</t>
        </is>
      </c>
      <c r="G889" s="25" t="n">
        <v>2</v>
      </c>
      <c r="H889" s="27" t="n">
        <v>11500</v>
      </c>
      <c r="I889" s="28" t="n">
        <v>0.15</v>
      </c>
      <c r="J889" s="27" t="n">
        <v>8200</v>
      </c>
      <c r="K889" s="27">
        <f>G889*H889*(1-I889)</f>
        <v/>
      </c>
      <c r="L889" s="27">
        <f>K889-G889*J889</f>
        <v/>
      </c>
    </row>
    <row r="890">
      <c r="A890" s="25" t="inlineStr">
        <is>
          <t>ORD-10079</t>
        </is>
      </c>
      <c r="B890" s="26" t="n">
        <v>45956</v>
      </c>
      <c r="C890" s="25">
        <f>MONTH(B890)</f>
        <v/>
      </c>
      <c r="D890" s="25" t="inlineStr">
        <is>
          <t>West</t>
        </is>
      </c>
      <c r="E890" s="25" t="inlineStr">
        <is>
          <t>Accessories</t>
        </is>
      </c>
      <c r="F890" s="25" t="inlineStr">
        <is>
          <t>USB-C Hub</t>
        </is>
      </c>
      <c r="G890" s="25" t="n">
        <v>1</v>
      </c>
      <c r="H890" s="27" t="n">
        <v>1800</v>
      </c>
      <c r="I890" s="28" t="n">
        <v>0.05</v>
      </c>
      <c r="J890" s="27" t="n">
        <v>980</v>
      </c>
      <c r="K890" s="27">
        <f>G890*H890*(1-I890)</f>
        <v/>
      </c>
      <c r="L890" s="27">
        <f>K890-G890*J890</f>
        <v/>
      </c>
    </row>
    <row r="891">
      <c r="A891" s="25" t="inlineStr">
        <is>
          <t>ORD-10281</t>
        </is>
      </c>
      <c r="B891" s="26" t="n">
        <v>45956</v>
      </c>
      <c r="C891" s="25">
        <f>MONTH(B891)</f>
        <v/>
      </c>
      <c r="D891" s="25" t="inlineStr">
        <is>
          <t>North</t>
        </is>
      </c>
      <c r="E891" s="25" t="inlineStr">
        <is>
          <t>Technology</t>
        </is>
      </c>
      <c r="F891" s="25" t="inlineStr">
        <is>
          <t>Wireless Mouse</t>
        </is>
      </c>
      <c r="G891" s="25" t="n">
        <v>5</v>
      </c>
      <c r="H891" s="27" t="n">
        <v>1200</v>
      </c>
      <c r="I891" s="28" t="n">
        <v>0.1</v>
      </c>
      <c r="J891" s="27" t="n">
        <v>650</v>
      </c>
      <c r="K891" s="27">
        <f>G891*H891*(1-I891)</f>
        <v/>
      </c>
      <c r="L891" s="27">
        <f>K891-G891*J891</f>
        <v/>
      </c>
    </row>
    <row r="892">
      <c r="A892" s="25" t="inlineStr">
        <is>
          <t>ORD-10391</t>
        </is>
      </c>
      <c r="B892" s="26" t="n">
        <v>45956</v>
      </c>
      <c r="C892" s="25">
        <f>MONTH(B892)</f>
        <v/>
      </c>
      <c r="D892" s="25" t="inlineStr">
        <is>
          <t>East</t>
        </is>
      </c>
      <c r="E892" s="25" t="inlineStr">
        <is>
          <t>Office Supplies</t>
        </is>
      </c>
      <c r="F892" s="25" t="inlineStr">
        <is>
          <t>Printer Paper Box</t>
        </is>
      </c>
      <c r="G892" s="25" t="n">
        <v>1</v>
      </c>
      <c r="H892" s="27" t="n">
        <v>1600</v>
      </c>
      <c r="I892" s="28" t="n">
        <v>0</v>
      </c>
      <c r="J892" s="27" t="n">
        <v>1050</v>
      </c>
      <c r="K892" s="27">
        <f>G892*H892*(1-I892)</f>
        <v/>
      </c>
      <c r="L892" s="27">
        <f>K892-G892*J892</f>
        <v/>
      </c>
    </row>
    <row r="893">
      <c r="A893" s="25" t="inlineStr">
        <is>
          <t>ORD-10998</t>
        </is>
      </c>
      <c r="B893" s="26" t="n">
        <v>45956</v>
      </c>
      <c r="C893" s="25">
        <f>MONTH(B893)</f>
        <v/>
      </c>
      <c r="D893" s="25" t="inlineStr">
        <is>
          <t>North</t>
        </is>
      </c>
      <c r="E893" s="25" t="inlineStr">
        <is>
          <t>Office Supplies</t>
        </is>
      </c>
      <c r="F893" s="25" t="inlineStr">
        <is>
          <t>Printer Paper Box</t>
        </is>
      </c>
      <c r="G893" s="25" t="n">
        <v>1</v>
      </c>
      <c r="H893" s="27" t="n">
        <v>1600</v>
      </c>
      <c r="I893" s="28" t="n">
        <v>0.2</v>
      </c>
      <c r="J893" s="27" t="n">
        <v>1050</v>
      </c>
      <c r="K893" s="27">
        <f>G893*H893*(1-I893)</f>
        <v/>
      </c>
      <c r="L893" s="27">
        <f>K893-G893*J893</f>
        <v/>
      </c>
    </row>
    <row r="894">
      <c r="A894" s="25" t="inlineStr">
        <is>
          <t>ORD-11068</t>
        </is>
      </c>
      <c r="B894" s="26" t="n">
        <v>45956</v>
      </c>
      <c r="C894" s="25">
        <f>MONTH(B894)</f>
        <v/>
      </c>
      <c r="D894" s="25" t="inlineStr">
        <is>
          <t>East</t>
        </is>
      </c>
      <c r="E894" s="25" t="inlineStr">
        <is>
          <t>Accessories</t>
        </is>
      </c>
      <c r="F894" s="25" t="inlineStr">
        <is>
          <t>Webcam</t>
        </is>
      </c>
      <c r="G894" s="25" t="n">
        <v>3</v>
      </c>
      <c r="H894" s="27" t="n">
        <v>3200</v>
      </c>
      <c r="I894" s="28" t="n">
        <v>0.05</v>
      </c>
      <c r="J894" s="27" t="n">
        <v>1900</v>
      </c>
      <c r="K894" s="27">
        <f>G894*H894*(1-I894)</f>
        <v/>
      </c>
      <c r="L894" s="27">
        <f>K894-G894*J894</f>
        <v/>
      </c>
    </row>
    <row r="895">
      <c r="A895" s="25" t="inlineStr">
        <is>
          <t>ORD-10089</t>
        </is>
      </c>
      <c r="B895" s="26" t="n">
        <v>45957</v>
      </c>
      <c r="C895" s="25">
        <f>MONTH(B895)</f>
        <v/>
      </c>
      <c r="D895" s="25" t="inlineStr">
        <is>
          <t>South</t>
        </is>
      </c>
      <c r="E895" s="25" t="inlineStr">
        <is>
          <t>Technology</t>
        </is>
      </c>
      <c r="F895" s="25" t="inlineStr">
        <is>
          <t>Monitor 24"</t>
        </is>
      </c>
      <c r="G895" s="25" t="n">
        <v>2</v>
      </c>
      <c r="H895" s="27" t="n">
        <v>11500</v>
      </c>
      <c r="I895" s="28" t="n">
        <v>0</v>
      </c>
      <c r="J895" s="27" t="n">
        <v>8200</v>
      </c>
      <c r="K895" s="27">
        <f>G895*H895*(1-I895)</f>
        <v/>
      </c>
      <c r="L895" s="27">
        <f>K895-G895*J895</f>
        <v/>
      </c>
    </row>
    <row r="896">
      <c r="A896" s="25" t="inlineStr">
        <is>
          <t>ORD-10400</t>
        </is>
      </c>
      <c r="B896" s="26" t="n">
        <v>45957</v>
      </c>
      <c r="C896" s="25">
        <f>MONTH(B896)</f>
        <v/>
      </c>
      <c r="D896" s="25" t="inlineStr">
        <is>
          <t>West</t>
        </is>
      </c>
      <c r="E896" s="25" t="inlineStr">
        <is>
          <t>Accessories</t>
        </is>
      </c>
      <c r="F896" s="25" t="inlineStr">
        <is>
          <t>Webcam</t>
        </is>
      </c>
      <c r="G896" s="25" t="n">
        <v>1</v>
      </c>
      <c r="H896" s="27" t="n">
        <v>3200</v>
      </c>
      <c r="I896" s="28" t="n">
        <v>0</v>
      </c>
      <c r="J896" s="27" t="n">
        <v>1900</v>
      </c>
      <c r="K896" s="27">
        <f>G896*H896*(1-I896)</f>
        <v/>
      </c>
      <c r="L896" s="27">
        <f>K896-G896*J896</f>
        <v/>
      </c>
    </row>
    <row r="897">
      <c r="A897" s="25" t="inlineStr">
        <is>
          <t>ORD-10729</t>
        </is>
      </c>
      <c r="B897" s="26" t="n">
        <v>45957</v>
      </c>
      <c r="C897" s="25">
        <f>MONTH(B897)</f>
        <v/>
      </c>
      <c r="D897" s="25" t="inlineStr">
        <is>
          <t>West</t>
        </is>
      </c>
      <c r="E897" s="25" t="inlineStr">
        <is>
          <t>Office Supplies</t>
        </is>
      </c>
      <c r="F897" s="25" t="inlineStr">
        <is>
          <t>Desk Organizer</t>
        </is>
      </c>
      <c r="G897" s="25" t="n">
        <v>1</v>
      </c>
      <c r="H897" s="27" t="n">
        <v>850</v>
      </c>
      <c r="I897" s="28" t="n">
        <v>0.2</v>
      </c>
      <c r="J897" s="27" t="n">
        <v>420</v>
      </c>
      <c r="K897" s="27">
        <f>G897*H897*(1-I897)</f>
        <v/>
      </c>
      <c r="L897" s="27">
        <f>K897-G897*J897</f>
        <v/>
      </c>
    </row>
    <row r="898">
      <c r="A898" s="25" t="inlineStr">
        <is>
          <t>ORD-10636</t>
        </is>
      </c>
      <c r="B898" s="26" t="n">
        <v>45958</v>
      </c>
      <c r="C898" s="25">
        <f>MONTH(B898)</f>
        <v/>
      </c>
      <c r="D898" s="25" t="inlineStr">
        <is>
          <t>North</t>
        </is>
      </c>
      <c r="E898" s="25" t="inlineStr">
        <is>
          <t>Accessories</t>
        </is>
      </c>
      <c r="F898" s="25" t="inlineStr">
        <is>
          <t>Webcam</t>
        </is>
      </c>
      <c r="G898" s="25" t="n">
        <v>3</v>
      </c>
      <c r="H898" s="27" t="n">
        <v>3200</v>
      </c>
      <c r="I898" s="28" t="n">
        <v>0</v>
      </c>
      <c r="J898" s="27" t="n">
        <v>1900</v>
      </c>
      <c r="K898" s="27">
        <f>G898*H898*(1-I898)</f>
        <v/>
      </c>
      <c r="L898" s="27">
        <f>K898-G898*J898</f>
        <v/>
      </c>
    </row>
    <row r="899">
      <c r="A899" s="25" t="inlineStr">
        <is>
          <t>ORD-10684</t>
        </is>
      </c>
      <c r="B899" s="26" t="n">
        <v>45958</v>
      </c>
      <c r="C899" s="25">
        <f>MONTH(B899)</f>
        <v/>
      </c>
      <c r="D899" s="25" t="inlineStr">
        <is>
          <t>South</t>
        </is>
      </c>
      <c r="E899" s="25" t="inlineStr">
        <is>
          <t>Accessories</t>
        </is>
      </c>
      <c r="F899" s="25" t="inlineStr">
        <is>
          <t>Webcam</t>
        </is>
      </c>
      <c r="G899" s="25" t="n">
        <v>3</v>
      </c>
      <c r="H899" s="27" t="n">
        <v>3200</v>
      </c>
      <c r="I899" s="28" t="n">
        <v>0.15</v>
      </c>
      <c r="J899" s="27" t="n">
        <v>1900</v>
      </c>
      <c r="K899" s="27">
        <f>G899*H899*(1-I899)</f>
        <v/>
      </c>
      <c r="L899" s="27">
        <f>K899-G899*J899</f>
        <v/>
      </c>
    </row>
    <row r="900">
      <c r="A900" s="25" t="inlineStr">
        <is>
          <t>ORD-11072</t>
        </is>
      </c>
      <c r="B900" s="26" t="n">
        <v>45958</v>
      </c>
      <c r="C900" s="25">
        <f>MONTH(B900)</f>
        <v/>
      </c>
      <c r="D900" s="25" t="inlineStr">
        <is>
          <t>West</t>
        </is>
      </c>
      <c r="E900" s="25" t="inlineStr">
        <is>
          <t>Technology</t>
        </is>
      </c>
      <c r="F900" s="25" t="inlineStr">
        <is>
          <t>Mechanical Keyboard</t>
        </is>
      </c>
      <c r="G900" s="25" t="n">
        <v>2</v>
      </c>
      <c r="H900" s="27" t="n">
        <v>4200</v>
      </c>
      <c r="I900" s="28" t="n">
        <v>0</v>
      </c>
      <c r="J900" s="27" t="n">
        <v>2500</v>
      </c>
      <c r="K900" s="27">
        <f>G900*H900*(1-I900)</f>
        <v/>
      </c>
      <c r="L900" s="27">
        <f>K900-G900*J900</f>
        <v/>
      </c>
    </row>
    <row r="901">
      <c r="A901" s="25" t="inlineStr">
        <is>
          <t>ORD-11188</t>
        </is>
      </c>
      <c r="B901" s="26" t="n">
        <v>45958</v>
      </c>
      <c r="C901" s="25">
        <f>MONTH(B901)</f>
        <v/>
      </c>
      <c r="D901" s="25" t="inlineStr">
        <is>
          <t>West</t>
        </is>
      </c>
      <c r="E901" s="25" t="inlineStr">
        <is>
          <t>Technology</t>
        </is>
      </c>
      <c r="F901" s="25" t="inlineStr">
        <is>
          <t>Mechanical Keyboard</t>
        </is>
      </c>
      <c r="G901" s="25" t="n">
        <v>3</v>
      </c>
      <c r="H901" s="27" t="n">
        <v>4200</v>
      </c>
      <c r="I901" s="28" t="n">
        <v>0</v>
      </c>
      <c r="J901" s="27" t="n">
        <v>2500</v>
      </c>
      <c r="K901" s="27">
        <f>G901*H901*(1-I901)</f>
        <v/>
      </c>
      <c r="L901" s="27">
        <f>K901-G901*J901</f>
        <v/>
      </c>
    </row>
    <row r="902">
      <c r="A902" s="25" t="inlineStr">
        <is>
          <t>ORD-10048</t>
        </is>
      </c>
      <c r="B902" s="26" t="n">
        <v>45962</v>
      </c>
      <c r="C902" s="25">
        <f>MONTH(B902)</f>
        <v/>
      </c>
      <c r="D902" s="25" t="inlineStr">
        <is>
          <t>North</t>
        </is>
      </c>
      <c r="E902" s="25" t="inlineStr">
        <is>
          <t>Office Supplies</t>
        </is>
      </c>
      <c r="F902" s="25" t="inlineStr">
        <is>
          <t>Notebook Set</t>
        </is>
      </c>
      <c r="G902" s="25" t="n">
        <v>2</v>
      </c>
      <c r="H902" s="27" t="n">
        <v>450</v>
      </c>
      <c r="I902" s="28" t="n">
        <v>0</v>
      </c>
      <c r="J902" s="27" t="n">
        <v>190</v>
      </c>
      <c r="K902" s="27">
        <f>G902*H902*(1-I902)</f>
        <v/>
      </c>
      <c r="L902" s="27">
        <f>K902-G902*J902</f>
        <v/>
      </c>
    </row>
    <row r="903">
      <c r="A903" s="25" t="inlineStr">
        <is>
          <t>ORD-10388</t>
        </is>
      </c>
      <c r="B903" s="26" t="n">
        <v>45962</v>
      </c>
      <c r="C903" s="25">
        <f>MONTH(B903)</f>
        <v/>
      </c>
      <c r="D903" s="25" t="inlineStr">
        <is>
          <t>North</t>
        </is>
      </c>
      <c r="E903" s="25" t="inlineStr">
        <is>
          <t>Technology</t>
        </is>
      </c>
      <c r="F903" s="25" t="inlineStr">
        <is>
          <t>Wireless Mouse</t>
        </is>
      </c>
      <c r="G903" s="25" t="n">
        <v>3</v>
      </c>
      <c r="H903" s="27" t="n">
        <v>1200</v>
      </c>
      <c r="I903" s="28" t="n">
        <v>0.05</v>
      </c>
      <c r="J903" s="27" t="n">
        <v>650</v>
      </c>
      <c r="K903" s="27">
        <f>G903*H903*(1-I903)</f>
        <v/>
      </c>
      <c r="L903" s="27">
        <f>K903-G903*J903</f>
        <v/>
      </c>
    </row>
    <row r="904">
      <c r="A904" s="25" t="inlineStr">
        <is>
          <t>ORD-10408</t>
        </is>
      </c>
      <c r="B904" s="26" t="n">
        <v>45962</v>
      </c>
      <c r="C904" s="25">
        <f>MONTH(B904)</f>
        <v/>
      </c>
      <c r="D904" s="25" t="inlineStr">
        <is>
          <t>West</t>
        </is>
      </c>
      <c r="E904" s="25" t="inlineStr">
        <is>
          <t>Office Supplies</t>
        </is>
      </c>
      <c r="F904" s="25" t="inlineStr">
        <is>
          <t>Notebook Set</t>
        </is>
      </c>
      <c r="G904" s="25" t="n">
        <v>6</v>
      </c>
      <c r="H904" s="27" t="n">
        <v>450</v>
      </c>
      <c r="I904" s="28" t="n">
        <v>0</v>
      </c>
      <c r="J904" s="27" t="n">
        <v>190</v>
      </c>
      <c r="K904" s="27">
        <f>G904*H904*(1-I904)</f>
        <v/>
      </c>
      <c r="L904" s="27">
        <f>K904-G904*J904</f>
        <v/>
      </c>
    </row>
    <row r="905">
      <c r="A905" s="25" t="inlineStr">
        <is>
          <t>ORD-11110</t>
        </is>
      </c>
      <c r="B905" s="26" t="n">
        <v>45962</v>
      </c>
      <c r="C905" s="25">
        <f>MONTH(B905)</f>
        <v/>
      </c>
      <c r="D905" s="25" t="inlineStr">
        <is>
          <t>South</t>
        </is>
      </c>
      <c r="E905" s="25" t="inlineStr">
        <is>
          <t>Furniture</t>
        </is>
      </c>
      <c r="F905" s="25" t="inlineStr">
        <is>
          <t>Bookshelf</t>
        </is>
      </c>
      <c r="G905" s="25" t="n">
        <v>2</v>
      </c>
      <c r="H905" s="27" t="n">
        <v>6200</v>
      </c>
      <c r="I905" s="28" t="n">
        <v>0</v>
      </c>
      <c r="J905" s="27" t="n">
        <v>4100</v>
      </c>
      <c r="K905" s="27">
        <f>G905*H905*(1-I905)</f>
        <v/>
      </c>
      <c r="L905" s="27">
        <f>K905-G905*J905</f>
        <v/>
      </c>
    </row>
    <row r="906">
      <c r="A906" s="25" t="inlineStr">
        <is>
          <t>ORD-10199</t>
        </is>
      </c>
      <c r="B906" s="26" t="n">
        <v>45963</v>
      </c>
      <c r="C906" s="25">
        <f>MONTH(B906)</f>
        <v/>
      </c>
      <c r="D906" s="25" t="inlineStr">
        <is>
          <t>East</t>
        </is>
      </c>
      <c r="E906" s="25" t="inlineStr">
        <is>
          <t>Office Supplies</t>
        </is>
      </c>
      <c r="F906" s="25" t="inlineStr">
        <is>
          <t>Notebook Set</t>
        </is>
      </c>
      <c r="G906" s="25" t="n">
        <v>2</v>
      </c>
      <c r="H906" s="27" t="n">
        <v>450</v>
      </c>
      <c r="I906" s="28" t="n">
        <v>0</v>
      </c>
      <c r="J906" s="27" t="n">
        <v>190</v>
      </c>
      <c r="K906" s="27">
        <f>G906*H906*(1-I906)</f>
        <v/>
      </c>
      <c r="L906" s="27">
        <f>K906-G906*J906</f>
        <v/>
      </c>
    </row>
    <row r="907">
      <c r="A907" s="25" t="inlineStr">
        <is>
          <t>ORD-10288</t>
        </is>
      </c>
      <c r="B907" s="26" t="n">
        <v>45963</v>
      </c>
      <c r="C907" s="25">
        <f>MONTH(B907)</f>
        <v/>
      </c>
      <c r="D907" s="25" t="inlineStr">
        <is>
          <t>West</t>
        </is>
      </c>
      <c r="E907" s="25" t="inlineStr">
        <is>
          <t>Accessories</t>
        </is>
      </c>
      <c r="F907" s="25" t="inlineStr">
        <is>
          <t>Headphones</t>
        </is>
      </c>
      <c r="G907" s="25" t="n">
        <v>1</v>
      </c>
      <c r="H907" s="27" t="n">
        <v>4500</v>
      </c>
      <c r="I907" s="28" t="n">
        <v>0.05</v>
      </c>
      <c r="J907" s="27" t="n">
        <v>2600</v>
      </c>
      <c r="K907" s="27">
        <f>G907*H907*(1-I907)</f>
        <v/>
      </c>
      <c r="L907" s="27">
        <f>K907-G907*J907</f>
        <v/>
      </c>
    </row>
    <row r="908">
      <c r="A908" s="25" t="inlineStr">
        <is>
          <t>ORD-10575</t>
        </is>
      </c>
      <c r="B908" s="26" t="n">
        <v>45963</v>
      </c>
      <c r="C908" s="25">
        <f>MONTH(B908)</f>
        <v/>
      </c>
      <c r="D908" s="25" t="inlineStr">
        <is>
          <t>East</t>
        </is>
      </c>
      <c r="E908" s="25" t="inlineStr">
        <is>
          <t>Accessories</t>
        </is>
      </c>
      <c r="F908" s="25" t="inlineStr">
        <is>
          <t>Webcam</t>
        </is>
      </c>
      <c r="G908" s="25" t="n">
        <v>2</v>
      </c>
      <c r="H908" s="27" t="n">
        <v>3200</v>
      </c>
      <c r="I908" s="28" t="n">
        <v>0.1</v>
      </c>
      <c r="J908" s="27" t="n">
        <v>1900</v>
      </c>
      <c r="K908" s="27">
        <f>G908*H908*(1-I908)</f>
        <v/>
      </c>
      <c r="L908" s="27">
        <f>K908-G908*J908</f>
        <v/>
      </c>
    </row>
    <row r="909">
      <c r="A909" s="25" t="inlineStr">
        <is>
          <t>ORD-10687</t>
        </is>
      </c>
      <c r="B909" s="26" t="n">
        <v>45963</v>
      </c>
      <c r="C909" s="25">
        <f>MONTH(B909)</f>
        <v/>
      </c>
      <c r="D909" s="25" t="inlineStr">
        <is>
          <t>West</t>
        </is>
      </c>
      <c r="E909" s="25" t="inlineStr">
        <is>
          <t>Office Supplies</t>
        </is>
      </c>
      <c r="F909" s="25" t="inlineStr">
        <is>
          <t>Notebook Set</t>
        </is>
      </c>
      <c r="G909" s="25" t="n">
        <v>7</v>
      </c>
      <c r="H909" s="27" t="n">
        <v>450</v>
      </c>
      <c r="I909" s="28" t="n">
        <v>0.1</v>
      </c>
      <c r="J909" s="27" t="n">
        <v>190</v>
      </c>
      <c r="K909" s="27">
        <f>G909*H909*(1-I909)</f>
        <v/>
      </c>
      <c r="L909" s="27">
        <f>K909-G909*J909</f>
        <v/>
      </c>
    </row>
    <row r="910">
      <c r="A910" s="25" t="inlineStr">
        <is>
          <t>ORD-10782</t>
        </is>
      </c>
      <c r="B910" s="26" t="n">
        <v>45963</v>
      </c>
      <c r="C910" s="25">
        <f>MONTH(B910)</f>
        <v/>
      </c>
      <c r="D910" s="25" t="inlineStr">
        <is>
          <t>East</t>
        </is>
      </c>
      <c r="E910" s="25" t="inlineStr">
        <is>
          <t>Technology</t>
        </is>
      </c>
      <c r="F910" s="25" t="inlineStr">
        <is>
          <t>Mechanical Keyboard</t>
        </is>
      </c>
      <c r="G910" s="25" t="n">
        <v>2</v>
      </c>
      <c r="H910" s="27" t="n">
        <v>4200</v>
      </c>
      <c r="I910" s="28" t="n">
        <v>0.05</v>
      </c>
      <c r="J910" s="27" t="n">
        <v>2500</v>
      </c>
      <c r="K910" s="27">
        <f>G910*H910*(1-I910)</f>
        <v/>
      </c>
      <c r="L910" s="27">
        <f>K910-G910*J910</f>
        <v/>
      </c>
    </row>
    <row r="911">
      <c r="A911" s="25" t="inlineStr">
        <is>
          <t>ORD-10973</t>
        </is>
      </c>
      <c r="B911" s="26" t="n">
        <v>45963</v>
      </c>
      <c r="C911" s="25">
        <f>MONTH(B911)</f>
        <v/>
      </c>
      <c r="D911" s="25" t="inlineStr">
        <is>
          <t>South</t>
        </is>
      </c>
      <c r="E911" s="25" t="inlineStr">
        <is>
          <t>Office Supplies</t>
        </is>
      </c>
      <c r="F911" s="25" t="inlineStr">
        <is>
          <t>Notebook Set</t>
        </is>
      </c>
      <c r="G911" s="25" t="n">
        <v>1</v>
      </c>
      <c r="H911" s="27" t="n">
        <v>450</v>
      </c>
      <c r="I911" s="28" t="n">
        <v>0.2</v>
      </c>
      <c r="J911" s="27" t="n">
        <v>190</v>
      </c>
      <c r="K911" s="27">
        <f>G911*H911*(1-I911)</f>
        <v/>
      </c>
      <c r="L911" s="27">
        <f>K911-G911*J911</f>
        <v/>
      </c>
    </row>
    <row r="912">
      <c r="A912" s="25" t="inlineStr">
        <is>
          <t>ORD-11071</t>
        </is>
      </c>
      <c r="B912" s="26" t="n">
        <v>45963</v>
      </c>
      <c r="C912" s="25">
        <f>MONTH(B912)</f>
        <v/>
      </c>
      <c r="D912" s="25" t="inlineStr">
        <is>
          <t>North</t>
        </is>
      </c>
      <c r="E912" s="25" t="inlineStr">
        <is>
          <t>Office Supplies</t>
        </is>
      </c>
      <c r="F912" s="25" t="inlineStr">
        <is>
          <t>Printer Paper Box</t>
        </is>
      </c>
      <c r="G912" s="25" t="n">
        <v>1</v>
      </c>
      <c r="H912" s="27" t="n">
        <v>1600</v>
      </c>
      <c r="I912" s="28" t="n">
        <v>0.05</v>
      </c>
      <c r="J912" s="27" t="n">
        <v>1050</v>
      </c>
      <c r="K912" s="27">
        <f>G912*H912*(1-I912)</f>
        <v/>
      </c>
      <c r="L912" s="27">
        <f>K912-G912*J912</f>
        <v/>
      </c>
    </row>
    <row r="913">
      <c r="A913" s="25" t="inlineStr">
        <is>
          <t>ORD-10136</t>
        </is>
      </c>
      <c r="B913" s="26" t="n">
        <v>45964</v>
      </c>
      <c r="C913" s="25">
        <f>MONTH(B913)</f>
        <v/>
      </c>
      <c r="D913" s="25" t="inlineStr">
        <is>
          <t>South</t>
        </is>
      </c>
      <c r="E913" s="25" t="inlineStr">
        <is>
          <t>Accessories</t>
        </is>
      </c>
      <c r="F913" s="25" t="inlineStr">
        <is>
          <t>USB-C Hub</t>
        </is>
      </c>
      <c r="G913" s="25" t="n">
        <v>4</v>
      </c>
      <c r="H913" s="27" t="n">
        <v>1800</v>
      </c>
      <c r="I913" s="28" t="n">
        <v>0.15</v>
      </c>
      <c r="J913" s="27" t="n">
        <v>980</v>
      </c>
      <c r="K913" s="27">
        <f>G913*H913*(1-I913)</f>
        <v/>
      </c>
      <c r="L913" s="27">
        <f>K913-G913*J913</f>
        <v/>
      </c>
    </row>
    <row r="914">
      <c r="A914" s="25" t="inlineStr">
        <is>
          <t>ORD-10502</t>
        </is>
      </c>
      <c r="B914" s="26" t="n">
        <v>45965</v>
      </c>
      <c r="C914" s="25">
        <f>MONTH(B914)</f>
        <v/>
      </c>
      <c r="D914" s="25" t="inlineStr">
        <is>
          <t>West</t>
        </is>
      </c>
      <c r="E914" s="25" t="inlineStr">
        <is>
          <t>Office Supplies</t>
        </is>
      </c>
      <c r="F914" s="25" t="inlineStr">
        <is>
          <t>Desk Organizer</t>
        </is>
      </c>
      <c r="G914" s="25" t="n">
        <v>4</v>
      </c>
      <c r="H914" s="27" t="n">
        <v>850</v>
      </c>
      <c r="I914" s="28" t="n">
        <v>0.1</v>
      </c>
      <c r="J914" s="27" t="n">
        <v>420</v>
      </c>
      <c r="K914" s="27">
        <f>G914*H914*(1-I914)</f>
        <v/>
      </c>
      <c r="L914" s="27">
        <f>K914-G914*J914</f>
        <v/>
      </c>
    </row>
    <row r="915">
      <c r="A915" s="25" t="inlineStr">
        <is>
          <t>ORD-11095</t>
        </is>
      </c>
      <c r="B915" s="26" t="n">
        <v>45965</v>
      </c>
      <c r="C915" s="25">
        <f>MONTH(B915)</f>
        <v/>
      </c>
      <c r="D915" s="25" t="inlineStr">
        <is>
          <t>East</t>
        </is>
      </c>
      <c r="E915" s="25" t="inlineStr">
        <is>
          <t>Office Supplies</t>
        </is>
      </c>
      <c r="F915" s="25" t="inlineStr">
        <is>
          <t>Printer Paper Box</t>
        </is>
      </c>
      <c r="G915" s="25" t="n">
        <v>2</v>
      </c>
      <c r="H915" s="27" t="n">
        <v>1600</v>
      </c>
      <c r="I915" s="28" t="n">
        <v>0</v>
      </c>
      <c r="J915" s="27" t="n">
        <v>1050</v>
      </c>
      <c r="K915" s="27">
        <f>G915*H915*(1-I915)</f>
        <v/>
      </c>
      <c r="L915" s="27">
        <f>K915-G915*J915</f>
        <v/>
      </c>
    </row>
    <row r="916">
      <c r="A916" s="25" t="inlineStr">
        <is>
          <t>ORD-10280</t>
        </is>
      </c>
      <c r="B916" s="26" t="n">
        <v>45966</v>
      </c>
      <c r="C916" s="25">
        <f>MONTH(B916)</f>
        <v/>
      </c>
      <c r="D916" s="25" t="inlineStr">
        <is>
          <t>West</t>
        </is>
      </c>
      <c r="E916" s="25" t="inlineStr">
        <is>
          <t>Office Supplies</t>
        </is>
      </c>
      <c r="F916" s="25" t="inlineStr">
        <is>
          <t>Printer Paper Box</t>
        </is>
      </c>
      <c r="G916" s="25" t="n">
        <v>2</v>
      </c>
      <c r="H916" s="27" t="n">
        <v>1600</v>
      </c>
      <c r="I916" s="28" t="n">
        <v>0.15</v>
      </c>
      <c r="J916" s="27" t="n">
        <v>1050</v>
      </c>
      <c r="K916" s="27">
        <f>G916*H916*(1-I916)</f>
        <v/>
      </c>
      <c r="L916" s="27">
        <f>K916-G916*J916</f>
        <v/>
      </c>
    </row>
    <row r="917">
      <c r="A917" s="25" t="inlineStr">
        <is>
          <t>ORD-10626</t>
        </is>
      </c>
      <c r="B917" s="26" t="n">
        <v>45966</v>
      </c>
      <c r="C917" s="25">
        <f>MONTH(B917)</f>
        <v/>
      </c>
      <c r="D917" s="25" t="inlineStr">
        <is>
          <t>South</t>
        </is>
      </c>
      <c r="E917" s="25" t="inlineStr">
        <is>
          <t>Office Supplies</t>
        </is>
      </c>
      <c r="F917" s="25" t="inlineStr">
        <is>
          <t>Notebook Set</t>
        </is>
      </c>
      <c r="G917" s="25" t="n">
        <v>1</v>
      </c>
      <c r="H917" s="27" t="n">
        <v>450</v>
      </c>
      <c r="I917" s="28" t="n">
        <v>0</v>
      </c>
      <c r="J917" s="27" t="n">
        <v>190</v>
      </c>
      <c r="K917" s="27">
        <f>G917*H917*(1-I917)</f>
        <v/>
      </c>
      <c r="L917" s="27">
        <f>K917-G917*J917</f>
        <v/>
      </c>
    </row>
    <row r="918">
      <c r="A918" s="25" t="inlineStr">
        <is>
          <t>ORD-10825</t>
        </is>
      </c>
      <c r="B918" s="26" t="n">
        <v>45966</v>
      </c>
      <c r="C918" s="25">
        <f>MONTH(B918)</f>
        <v/>
      </c>
      <c r="D918" s="25" t="inlineStr">
        <is>
          <t>North</t>
        </is>
      </c>
      <c r="E918" s="25" t="inlineStr">
        <is>
          <t>Office Supplies</t>
        </is>
      </c>
      <c r="F918" s="25" t="inlineStr">
        <is>
          <t>Desk Organizer</t>
        </is>
      </c>
      <c r="G918" s="25" t="n">
        <v>5</v>
      </c>
      <c r="H918" s="27" t="n">
        <v>850</v>
      </c>
      <c r="I918" s="28" t="n">
        <v>0</v>
      </c>
      <c r="J918" s="27" t="n">
        <v>420</v>
      </c>
      <c r="K918" s="27">
        <f>G918*H918*(1-I918)</f>
        <v/>
      </c>
      <c r="L918" s="27">
        <f>K918-G918*J918</f>
        <v/>
      </c>
    </row>
    <row r="919">
      <c r="A919" s="25" t="inlineStr">
        <is>
          <t>ORD-10918</t>
        </is>
      </c>
      <c r="B919" s="26" t="n">
        <v>45966</v>
      </c>
      <c r="C919" s="25">
        <f>MONTH(B919)</f>
        <v/>
      </c>
      <c r="D919" s="25" t="inlineStr">
        <is>
          <t>West</t>
        </is>
      </c>
      <c r="E919" s="25" t="inlineStr">
        <is>
          <t>Office Supplies</t>
        </is>
      </c>
      <c r="F919" s="25" t="inlineStr">
        <is>
          <t>Printer Paper Box</t>
        </is>
      </c>
      <c r="G919" s="25" t="n">
        <v>2</v>
      </c>
      <c r="H919" s="27" t="n">
        <v>1600</v>
      </c>
      <c r="I919" s="28" t="n">
        <v>0</v>
      </c>
      <c r="J919" s="27" t="n">
        <v>1050</v>
      </c>
      <c r="K919" s="27">
        <f>G919*H919*(1-I919)</f>
        <v/>
      </c>
      <c r="L919" s="27">
        <f>K919-G919*J919</f>
        <v/>
      </c>
    </row>
    <row r="920">
      <c r="A920" s="25" t="inlineStr">
        <is>
          <t>ORD-10359</t>
        </is>
      </c>
      <c r="B920" s="26" t="n">
        <v>45967</v>
      </c>
      <c r="C920" s="25">
        <f>MONTH(B920)</f>
        <v/>
      </c>
      <c r="D920" s="25" t="inlineStr">
        <is>
          <t>South</t>
        </is>
      </c>
      <c r="E920" s="25" t="inlineStr">
        <is>
          <t>Accessories</t>
        </is>
      </c>
      <c r="F920" s="25" t="inlineStr">
        <is>
          <t>Headphones</t>
        </is>
      </c>
      <c r="G920" s="25" t="n">
        <v>1</v>
      </c>
      <c r="H920" s="27" t="n">
        <v>4500</v>
      </c>
      <c r="I920" s="28" t="n">
        <v>0</v>
      </c>
      <c r="J920" s="27" t="n">
        <v>2600</v>
      </c>
      <c r="K920" s="27">
        <f>G920*H920*(1-I920)</f>
        <v/>
      </c>
      <c r="L920" s="27">
        <f>K920-G920*J920</f>
        <v/>
      </c>
    </row>
    <row r="921">
      <c r="A921" s="25" t="inlineStr">
        <is>
          <t>ORD-10435</t>
        </is>
      </c>
      <c r="B921" s="26" t="n">
        <v>45967</v>
      </c>
      <c r="C921" s="25">
        <f>MONTH(B921)</f>
        <v/>
      </c>
      <c r="D921" s="25" t="inlineStr">
        <is>
          <t>South</t>
        </is>
      </c>
      <c r="E921" s="25" t="inlineStr">
        <is>
          <t>Accessories</t>
        </is>
      </c>
      <c r="F921" s="25" t="inlineStr">
        <is>
          <t>Headphones</t>
        </is>
      </c>
      <c r="G921" s="25" t="n">
        <v>2</v>
      </c>
      <c r="H921" s="27" t="n">
        <v>4500</v>
      </c>
      <c r="I921" s="28" t="n">
        <v>0.2</v>
      </c>
      <c r="J921" s="27" t="n">
        <v>2600</v>
      </c>
      <c r="K921" s="27">
        <f>G921*H921*(1-I921)</f>
        <v/>
      </c>
      <c r="L921" s="27">
        <f>K921-G921*J921</f>
        <v/>
      </c>
    </row>
    <row r="922">
      <c r="A922" s="25" t="inlineStr">
        <is>
          <t>ORD-10514</t>
        </is>
      </c>
      <c r="B922" s="26" t="n">
        <v>45967</v>
      </c>
      <c r="C922" s="25">
        <f>MONTH(B922)</f>
        <v/>
      </c>
      <c r="D922" s="25" t="inlineStr">
        <is>
          <t>West</t>
        </is>
      </c>
      <c r="E922" s="25" t="inlineStr">
        <is>
          <t>Accessories</t>
        </is>
      </c>
      <c r="F922" s="25" t="inlineStr">
        <is>
          <t>USB-C Hub</t>
        </is>
      </c>
      <c r="G922" s="25" t="n">
        <v>4</v>
      </c>
      <c r="H922" s="27" t="n">
        <v>1800</v>
      </c>
      <c r="I922" s="28" t="n">
        <v>0</v>
      </c>
      <c r="J922" s="27" t="n">
        <v>980</v>
      </c>
      <c r="K922" s="27">
        <f>G922*H922*(1-I922)</f>
        <v/>
      </c>
      <c r="L922" s="27">
        <f>K922-G922*J922</f>
        <v/>
      </c>
    </row>
    <row r="923">
      <c r="A923" s="25" t="inlineStr">
        <is>
          <t>ORD-10735</t>
        </is>
      </c>
      <c r="B923" s="26" t="n">
        <v>45967</v>
      </c>
      <c r="C923" s="25">
        <f>MONTH(B923)</f>
        <v/>
      </c>
      <c r="D923" s="25" t="inlineStr">
        <is>
          <t>South</t>
        </is>
      </c>
      <c r="E923" s="25" t="inlineStr">
        <is>
          <t>Accessories</t>
        </is>
      </c>
      <c r="F923" s="25" t="inlineStr">
        <is>
          <t>USB-C Hub</t>
        </is>
      </c>
      <c r="G923" s="25" t="n">
        <v>3</v>
      </c>
      <c r="H923" s="27" t="n">
        <v>1800</v>
      </c>
      <c r="I923" s="28" t="n">
        <v>0.05</v>
      </c>
      <c r="J923" s="27" t="n">
        <v>980</v>
      </c>
      <c r="K923" s="27">
        <f>G923*H923*(1-I923)</f>
        <v/>
      </c>
      <c r="L923" s="27">
        <f>K923-G923*J923</f>
        <v/>
      </c>
    </row>
    <row r="924">
      <c r="A924" s="25" t="inlineStr">
        <is>
          <t>ORD-10780</t>
        </is>
      </c>
      <c r="B924" s="26" t="n">
        <v>45967</v>
      </c>
      <c r="C924" s="25">
        <f>MONTH(B924)</f>
        <v/>
      </c>
      <c r="D924" s="25" t="inlineStr">
        <is>
          <t>North</t>
        </is>
      </c>
      <c r="E924" s="25" t="inlineStr">
        <is>
          <t>Accessories</t>
        </is>
      </c>
      <c r="F924" s="25" t="inlineStr">
        <is>
          <t>Webcam</t>
        </is>
      </c>
      <c r="G924" s="25" t="n">
        <v>2</v>
      </c>
      <c r="H924" s="27" t="n">
        <v>3200</v>
      </c>
      <c r="I924" s="28" t="n">
        <v>0</v>
      </c>
      <c r="J924" s="27" t="n">
        <v>1900</v>
      </c>
      <c r="K924" s="27">
        <f>G924*H924*(1-I924)</f>
        <v/>
      </c>
      <c r="L924" s="27">
        <f>K924-G924*J924</f>
        <v/>
      </c>
    </row>
    <row r="925">
      <c r="A925" s="25" t="inlineStr">
        <is>
          <t>ORD-10865</t>
        </is>
      </c>
      <c r="B925" s="26" t="n">
        <v>45967</v>
      </c>
      <c r="C925" s="25">
        <f>MONTH(B925)</f>
        <v/>
      </c>
      <c r="D925" s="25" t="inlineStr">
        <is>
          <t>North</t>
        </is>
      </c>
      <c r="E925" s="25" t="inlineStr">
        <is>
          <t>Office Supplies</t>
        </is>
      </c>
      <c r="F925" s="25" t="inlineStr">
        <is>
          <t>Printer Paper Box</t>
        </is>
      </c>
      <c r="G925" s="25" t="n">
        <v>3</v>
      </c>
      <c r="H925" s="27" t="n">
        <v>1600</v>
      </c>
      <c r="I925" s="28" t="n">
        <v>0</v>
      </c>
      <c r="J925" s="27" t="n">
        <v>1050</v>
      </c>
      <c r="K925" s="27">
        <f>G925*H925*(1-I925)</f>
        <v/>
      </c>
      <c r="L925" s="27">
        <f>K925-G925*J925</f>
        <v/>
      </c>
    </row>
    <row r="926">
      <c r="A926" s="25" t="inlineStr">
        <is>
          <t>ORD-10931</t>
        </is>
      </c>
      <c r="B926" s="26" t="n">
        <v>45967</v>
      </c>
      <c r="C926" s="25">
        <f>MONTH(B926)</f>
        <v/>
      </c>
      <c r="D926" s="25" t="inlineStr">
        <is>
          <t>East</t>
        </is>
      </c>
      <c r="E926" s="25" t="inlineStr">
        <is>
          <t>Office Supplies</t>
        </is>
      </c>
      <c r="F926" s="25" t="inlineStr">
        <is>
          <t>Printer Paper Box</t>
        </is>
      </c>
      <c r="G926" s="25" t="n">
        <v>1</v>
      </c>
      <c r="H926" s="27" t="n">
        <v>1600</v>
      </c>
      <c r="I926" s="28" t="n">
        <v>0.05</v>
      </c>
      <c r="J926" s="27" t="n">
        <v>1050</v>
      </c>
      <c r="K926" s="27">
        <f>G926*H926*(1-I926)</f>
        <v/>
      </c>
      <c r="L926" s="27">
        <f>K926-G926*J926</f>
        <v/>
      </c>
    </row>
    <row r="927">
      <c r="A927" s="25" t="inlineStr">
        <is>
          <t>ORD-10155</t>
        </is>
      </c>
      <c r="B927" s="26" t="n">
        <v>45968</v>
      </c>
      <c r="C927" s="25">
        <f>MONTH(B927)</f>
        <v/>
      </c>
      <c r="D927" s="25" t="inlineStr">
        <is>
          <t>West</t>
        </is>
      </c>
      <c r="E927" s="25" t="inlineStr">
        <is>
          <t>Technology</t>
        </is>
      </c>
      <c r="F927" s="25" t="inlineStr">
        <is>
          <t>Mechanical Keyboard</t>
        </is>
      </c>
      <c r="G927" s="25" t="n">
        <v>2</v>
      </c>
      <c r="H927" s="27" t="n">
        <v>4200</v>
      </c>
      <c r="I927" s="28" t="n">
        <v>0.05</v>
      </c>
      <c r="J927" s="27" t="n">
        <v>2500</v>
      </c>
      <c r="K927" s="27">
        <f>G927*H927*(1-I927)</f>
        <v/>
      </c>
      <c r="L927" s="27">
        <f>K927-G927*J927</f>
        <v/>
      </c>
    </row>
    <row r="928">
      <c r="A928" s="25" t="inlineStr">
        <is>
          <t>ORD-10223</t>
        </is>
      </c>
      <c r="B928" s="26" t="n">
        <v>45968</v>
      </c>
      <c r="C928" s="25">
        <f>MONTH(B928)</f>
        <v/>
      </c>
      <c r="D928" s="25" t="inlineStr">
        <is>
          <t>East</t>
        </is>
      </c>
      <c r="E928" s="25" t="inlineStr">
        <is>
          <t>Accessories</t>
        </is>
      </c>
      <c r="F928" s="25" t="inlineStr">
        <is>
          <t>Headphones</t>
        </is>
      </c>
      <c r="G928" s="25" t="n">
        <v>3</v>
      </c>
      <c r="H928" s="27" t="n">
        <v>4500</v>
      </c>
      <c r="I928" s="28" t="n">
        <v>0.1</v>
      </c>
      <c r="J928" s="27" t="n">
        <v>2600</v>
      </c>
      <c r="K928" s="27">
        <f>G928*H928*(1-I928)</f>
        <v/>
      </c>
      <c r="L928" s="27">
        <f>K928-G928*J928</f>
        <v/>
      </c>
    </row>
    <row r="929">
      <c r="A929" s="25" t="inlineStr">
        <is>
          <t>ORD-10929</t>
        </is>
      </c>
      <c r="B929" s="26" t="n">
        <v>45968</v>
      </c>
      <c r="C929" s="25">
        <f>MONTH(B929)</f>
        <v/>
      </c>
      <c r="D929" s="25" t="inlineStr">
        <is>
          <t>West</t>
        </is>
      </c>
      <c r="E929" s="25" t="inlineStr">
        <is>
          <t>Office Supplies</t>
        </is>
      </c>
      <c r="F929" s="25" t="inlineStr">
        <is>
          <t>Notebook Set</t>
        </is>
      </c>
      <c r="G929" s="25" t="n">
        <v>7</v>
      </c>
      <c r="H929" s="27" t="n">
        <v>450</v>
      </c>
      <c r="I929" s="28" t="n">
        <v>0.2</v>
      </c>
      <c r="J929" s="27" t="n">
        <v>190</v>
      </c>
      <c r="K929" s="27">
        <f>G929*H929*(1-I929)</f>
        <v/>
      </c>
      <c r="L929" s="27">
        <f>K929-G929*J929</f>
        <v/>
      </c>
    </row>
    <row r="930">
      <c r="A930" s="25" t="inlineStr">
        <is>
          <t>ORD-11046</t>
        </is>
      </c>
      <c r="B930" s="26" t="n">
        <v>45968</v>
      </c>
      <c r="C930" s="25">
        <f>MONTH(B930)</f>
        <v/>
      </c>
      <c r="D930" s="25" t="inlineStr">
        <is>
          <t>North</t>
        </is>
      </c>
      <c r="E930" s="25" t="inlineStr">
        <is>
          <t>Accessories</t>
        </is>
      </c>
      <c r="F930" s="25" t="inlineStr">
        <is>
          <t>Headphones</t>
        </is>
      </c>
      <c r="G930" s="25" t="n">
        <v>3</v>
      </c>
      <c r="H930" s="27" t="n">
        <v>4500</v>
      </c>
      <c r="I930" s="28" t="n">
        <v>0.1</v>
      </c>
      <c r="J930" s="27" t="n">
        <v>2600</v>
      </c>
      <c r="K930" s="27">
        <f>G930*H930*(1-I930)</f>
        <v/>
      </c>
      <c r="L930" s="27">
        <f>K930-G930*J930</f>
        <v/>
      </c>
    </row>
    <row r="931">
      <c r="A931" s="25" t="inlineStr">
        <is>
          <t>ORD-11164</t>
        </is>
      </c>
      <c r="B931" s="26" t="n">
        <v>45968</v>
      </c>
      <c r="C931" s="25">
        <f>MONTH(B931)</f>
        <v/>
      </c>
      <c r="D931" s="25" t="inlineStr">
        <is>
          <t>West</t>
        </is>
      </c>
      <c r="E931" s="25" t="inlineStr">
        <is>
          <t>Furniture</t>
        </is>
      </c>
      <c r="F931" s="25" t="inlineStr">
        <is>
          <t>Office Chair</t>
        </is>
      </c>
      <c r="G931" s="25" t="n">
        <v>2</v>
      </c>
      <c r="H931" s="27" t="n">
        <v>8500</v>
      </c>
      <c r="I931" s="28" t="n">
        <v>0.2</v>
      </c>
      <c r="J931" s="27" t="n">
        <v>5600</v>
      </c>
      <c r="K931" s="27">
        <f>G931*H931*(1-I931)</f>
        <v/>
      </c>
      <c r="L931" s="27">
        <f>K931-G931*J931</f>
        <v/>
      </c>
    </row>
    <row r="932">
      <c r="A932" s="25" t="inlineStr">
        <is>
          <t>ORD-10094</t>
        </is>
      </c>
      <c r="B932" s="26" t="n">
        <v>45969</v>
      </c>
      <c r="C932" s="25">
        <f>MONTH(B932)</f>
        <v/>
      </c>
      <c r="D932" s="25" t="inlineStr">
        <is>
          <t>West</t>
        </is>
      </c>
      <c r="E932" s="25" t="inlineStr">
        <is>
          <t>Office Supplies</t>
        </is>
      </c>
      <c r="F932" s="25" t="inlineStr">
        <is>
          <t>Printer Paper Box</t>
        </is>
      </c>
      <c r="G932" s="25" t="n">
        <v>2</v>
      </c>
      <c r="H932" s="27" t="n">
        <v>1600</v>
      </c>
      <c r="I932" s="28" t="n">
        <v>0</v>
      </c>
      <c r="J932" s="27" t="n">
        <v>1050</v>
      </c>
      <c r="K932" s="27">
        <f>G932*H932*(1-I932)</f>
        <v/>
      </c>
      <c r="L932" s="27">
        <f>K932-G932*J932</f>
        <v/>
      </c>
    </row>
    <row r="933">
      <c r="A933" s="25" t="inlineStr">
        <is>
          <t>ORD-10310</t>
        </is>
      </c>
      <c r="B933" s="26" t="n">
        <v>45969</v>
      </c>
      <c r="C933" s="25">
        <f>MONTH(B933)</f>
        <v/>
      </c>
      <c r="D933" s="25" t="inlineStr">
        <is>
          <t>West</t>
        </is>
      </c>
      <c r="E933" s="25" t="inlineStr">
        <is>
          <t>Office Supplies</t>
        </is>
      </c>
      <c r="F933" s="25" t="inlineStr">
        <is>
          <t>Desk Organizer</t>
        </is>
      </c>
      <c r="G933" s="25" t="n">
        <v>5</v>
      </c>
      <c r="H933" s="27" t="n">
        <v>850</v>
      </c>
      <c r="I933" s="28" t="n">
        <v>0</v>
      </c>
      <c r="J933" s="27" t="n">
        <v>420</v>
      </c>
      <c r="K933" s="27">
        <f>G933*H933*(1-I933)</f>
        <v/>
      </c>
      <c r="L933" s="27">
        <f>K933-G933*J933</f>
        <v/>
      </c>
    </row>
    <row r="934">
      <c r="A934" s="25" t="inlineStr">
        <is>
          <t>ORD-10562</t>
        </is>
      </c>
      <c r="B934" s="26" t="n">
        <v>45969</v>
      </c>
      <c r="C934" s="25">
        <f>MONTH(B934)</f>
        <v/>
      </c>
      <c r="D934" s="25" t="inlineStr">
        <is>
          <t>North</t>
        </is>
      </c>
      <c r="E934" s="25" t="inlineStr">
        <is>
          <t>Accessories</t>
        </is>
      </c>
      <c r="F934" s="25" t="inlineStr">
        <is>
          <t>USB-C Hub</t>
        </is>
      </c>
      <c r="G934" s="25" t="n">
        <v>2</v>
      </c>
      <c r="H934" s="27" t="n">
        <v>1800</v>
      </c>
      <c r="I934" s="28" t="n">
        <v>0.2</v>
      </c>
      <c r="J934" s="27" t="n">
        <v>980</v>
      </c>
      <c r="K934" s="27">
        <f>G934*H934*(1-I934)</f>
        <v/>
      </c>
      <c r="L934" s="27">
        <f>K934-G934*J934</f>
        <v/>
      </c>
    </row>
    <row r="935">
      <c r="A935" s="25" t="inlineStr">
        <is>
          <t>ORD-10584</t>
        </is>
      </c>
      <c r="B935" s="26" t="n">
        <v>45969</v>
      </c>
      <c r="C935" s="25">
        <f>MONTH(B935)</f>
        <v/>
      </c>
      <c r="D935" s="25" t="inlineStr">
        <is>
          <t>North</t>
        </is>
      </c>
      <c r="E935" s="25" t="inlineStr">
        <is>
          <t>Office Supplies</t>
        </is>
      </c>
      <c r="F935" s="25" t="inlineStr">
        <is>
          <t>Notebook Set</t>
        </is>
      </c>
      <c r="G935" s="25" t="n">
        <v>8</v>
      </c>
      <c r="H935" s="27" t="n">
        <v>450</v>
      </c>
      <c r="I935" s="28" t="n">
        <v>0.1</v>
      </c>
      <c r="J935" s="27" t="n">
        <v>190</v>
      </c>
      <c r="K935" s="27">
        <f>G935*H935*(1-I935)</f>
        <v/>
      </c>
      <c r="L935" s="27">
        <f>K935-G935*J935</f>
        <v/>
      </c>
    </row>
    <row r="936">
      <c r="A936" s="25" t="inlineStr">
        <is>
          <t>ORD-10777</t>
        </is>
      </c>
      <c r="B936" s="26" t="n">
        <v>45969</v>
      </c>
      <c r="C936" s="25">
        <f>MONTH(B936)</f>
        <v/>
      </c>
      <c r="D936" s="25" t="inlineStr">
        <is>
          <t>South</t>
        </is>
      </c>
      <c r="E936" s="25" t="inlineStr">
        <is>
          <t>Accessories</t>
        </is>
      </c>
      <c r="F936" s="25" t="inlineStr">
        <is>
          <t>Webcam</t>
        </is>
      </c>
      <c r="G936" s="25" t="n">
        <v>2</v>
      </c>
      <c r="H936" s="27" t="n">
        <v>3200</v>
      </c>
      <c r="I936" s="28" t="n">
        <v>0</v>
      </c>
      <c r="J936" s="27" t="n">
        <v>1900</v>
      </c>
      <c r="K936" s="27">
        <f>G936*H936*(1-I936)</f>
        <v/>
      </c>
      <c r="L936" s="27">
        <f>K936-G936*J936</f>
        <v/>
      </c>
    </row>
    <row r="937">
      <c r="A937" s="25" t="inlineStr">
        <is>
          <t>ORD-10857</t>
        </is>
      </c>
      <c r="B937" s="26" t="n">
        <v>45969</v>
      </c>
      <c r="C937" s="25">
        <f>MONTH(B937)</f>
        <v/>
      </c>
      <c r="D937" s="25" t="inlineStr">
        <is>
          <t>West</t>
        </is>
      </c>
      <c r="E937" s="25" t="inlineStr">
        <is>
          <t>Office Supplies</t>
        </is>
      </c>
      <c r="F937" s="25" t="inlineStr">
        <is>
          <t>Notebook Set</t>
        </is>
      </c>
      <c r="G937" s="25" t="n">
        <v>7</v>
      </c>
      <c r="H937" s="27" t="n">
        <v>450</v>
      </c>
      <c r="I937" s="28" t="n">
        <v>0.1</v>
      </c>
      <c r="J937" s="27" t="n">
        <v>190</v>
      </c>
      <c r="K937" s="27">
        <f>G937*H937*(1-I937)</f>
        <v/>
      </c>
      <c r="L937" s="27">
        <f>K937-G937*J937</f>
        <v/>
      </c>
    </row>
    <row r="938">
      <c r="A938" s="25" t="inlineStr">
        <is>
          <t>ORD-10147</t>
        </is>
      </c>
      <c r="B938" s="26" t="n">
        <v>45970</v>
      </c>
      <c r="C938" s="25">
        <f>MONTH(B938)</f>
        <v/>
      </c>
      <c r="D938" s="25" t="inlineStr">
        <is>
          <t>North</t>
        </is>
      </c>
      <c r="E938" s="25" t="inlineStr">
        <is>
          <t>Technology</t>
        </is>
      </c>
      <c r="F938" s="25" t="inlineStr">
        <is>
          <t>Monitor 24"</t>
        </is>
      </c>
      <c r="G938" s="25" t="n">
        <v>2</v>
      </c>
      <c r="H938" s="27" t="n">
        <v>11500</v>
      </c>
      <c r="I938" s="28" t="n">
        <v>0.1</v>
      </c>
      <c r="J938" s="27" t="n">
        <v>8200</v>
      </c>
      <c r="K938" s="27">
        <f>G938*H938*(1-I938)</f>
        <v/>
      </c>
      <c r="L938" s="27">
        <f>K938-G938*J938</f>
        <v/>
      </c>
    </row>
    <row r="939">
      <c r="A939" s="25" t="inlineStr">
        <is>
          <t>ORD-10341</t>
        </is>
      </c>
      <c r="B939" s="26" t="n">
        <v>45970</v>
      </c>
      <c r="C939" s="25">
        <f>MONTH(B939)</f>
        <v/>
      </c>
      <c r="D939" s="25" t="inlineStr">
        <is>
          <t>South</t>
        </is>
      </c>
      <c r="E939" s="25" t="inlineStr">
        <is>
          <t>Technology</t>
        </is>
      </c>
      <c r="F939" s="25" t="inlineStr">
        <is>
          <t>Mechanical Keyboard</t>
        </is>
      </c>
      <c r="G939" s="25" t="n">
        <v>2</v>
      </c>
      <c r="H939" s="27" t="n">
        <v>4200</v>
      </c>
      <c r="I939" s="28" t="n">
        <v>0.15</v>
      </c>
      <c r="J939" s="27" t="n">
        <v>2500</v>
      </c>
      <c r="K939" s="27">
        <f>G939*H939*(1-I939)</f>
        <v/>
      </c>
      <c r="L939" s="27">
        <f>K939-G939*J939</f>
        <v/>
      </c>
    </row>
    <row r="940">
      <c r="A940" s="25" t="inlineStr">
        <is>
          <t>ORD-10676</t>
        </is>
      </c>
      <c r="B940" s="26" t="n">
        <v>45970</v>
      </c>
      <c r="C940" s="25">
        <f>MONTH(B940)</f>
        <v/>
      </c>
      <c r="D940" s="25" t="inlineStr">
        <is>
          <t>North</t>
        </is>
      </c>
      <c r="E940" s="25" t="inlineStr">
        <is>
          <t>Office Supplies</t>
        </is>
      </c>
      <c r="F940" s="25" t="inlineStr">
        <is>
          <t>Printer Paper Box</t>
        </is>
      </c>
      <c r="G940" s="25" t="n">
        <v>4</v>
      </c>
      <c r="H940" s="27" t="n">
        <v>1600</v>
      </c>
      <c r="I940" s="28" t="n">
        <v>0.1</v>
      </c>
      <c r="J940" s="27" t="n">
        <v>1050</v>
      </c>
      <c r="K940" s="27">
        <f>G940*H940*(1-I940)</f>
        <v/>
      </c>
      <c r="L940" s="27">
        <f>K940-G940*J940</f>
        <v/>
      </c>
    </row>
    <row r="941">
      <c r="A941" s="25" t="inlineStr">
        <is>
          <t>ORD-10838</t>
        </is>
      </c>
      <c r="B941" s="26" t="n">
        <v>45970</v>
      </c>
      <c r="C941" s="25">
        <f>MONTH(B941)</f>
        <v/>
      </c>
      <c r="D941" s="25" t="inlineStr">
        <is>
          <t>West</t>
        </is>
      </c>
      <c r="E941" s="25" t="inlineStr">
        <is>
          <t>Technology</t>
        </is>
      </c>
      <c r="F941" s="25" t="inlineStr">
        <is>
          <t>Mechanical Keyboard</t>
        </is>
      </c>
      <c r="G941" s="25" t="n">
        <v>1</v>
      </c>
      <c r="H941" s="27" t="n">
        <v>4200</v>
      </c>
      <c r="I941" s="28" t="n">
        <v>0</v>
      </c>
      <c r="J941" s="27" t="n">
        <v>2500</v>
      </c>
      <c r="K941" s="27">
        <f>G941*H941*(1-I941)</f>
        <v/>
      </c>
      <c r="L941" s="27">
        <f>K941-G941*J941</f>
        <v/>
      </c>
    </row>
    <row r="942">
      <c r="A942" s="25" t="inlineStr">
        <is>
          <t>ORD-10990</t>
        </is>
      </c>
      <c r="B942" s="26" t="n">
        <v>45970</v>
      </c>
      <c r="C942" s="25">
        <f>MONTH(B942)</f>
        <v/>
      </c>
      <c r="D942" s="25" t="inlineStr">
        <is>
          <t>East</t>
        </is>
      </c>
      <c r="E942" s="25" t="inlineStr">
        <is>
          <t>Accessories</t>
        </is>
      </c>
      <c r="F942" s="25" t="inlineStr">
        <is>
          <t>USB-C Hub</t>
        </is>
      </c>
      <c r="G942" s="25" t="n">
        <v>1</v>
      </c>
      <c r="H942" s="27" t="n">
        <v>1800</v>
      </c>
      <c r="I942" s="28" t="n">
        <v>0</v>
      </c>
      <c r="J942" s="27" t="n">
        <v>980</v>
      </c>
      <c r="K942" s="27">
        <f>G942*H942*(1-I942)</f>
        <v/>
      </c>
      <c r="L942" s="27">
        <f>K942-G942*J942</f>
        <v/>
      </c>
    </row>
    <row r="943">
      <c r="A943" s="25" t="inlineStr">
        <is>
          <t>ORD-11021</t>
        </is>
      </c>
      <c r="B943" s="26" t="n">
        <v>45970</v>
      </c>
      <c r="C943" s="25">
        <f>MONTH(B943)</f>
        <v/>
      </c>
      <c r="D943" s="25" t="inlineStr">
        <is>
          <t>North</t>
        </is>
      </c>
      <c r="E943" s="25" t="inlineStr">
        <is>
          <t>Office Supplies</t>
        </is>
      </c>
      <c r="F943" s="25" t="inlineStr">
        <is>
          <t>Printer Paper Box</t>
        </is>
      </c>
      <c r="G943" s="25" t="n">
        <v>6</v>
      </c>
      <c r="H943" s="27" t="n">
        <v>1600</v>
      </c>
      <c r="I943" s="28" t="n">
        <v>0.1</v>
      </c>
      <c r="J943" s="27" t="n">
        <v>1050</v>
      </c>
      <c r="K943" s="27">
        <f>G943*H943*(1-I943)</f>
        <v/>
      </c>
      <c r="L943" s="27">
        <f>K943-G943*J943</f>
        <v/>
      </c>
    </row>
    <row r="944">
      <c r="A944" s="25" t="inlineStr">
        <is>
          <t>ORD-10345</t>
        </is>
      </c>
      <c r="B944" s="26" t="n">
        <v>45971</v>
      </c>
      <c r="C944" s="25">
        <f>MONTH(B944)</f>
        <v/>
      </c>
      <c r="D944" s="25" t="inlineStr">
        <is>
          <t>South</t>
        </is>
      </c>
      <c r="E944" s="25" t="inlineStr">
        <is>
          <t>Technology</t>
        </is>
      </c>
      <c r="F944" s="25" t="inlineStr">
        <is>
          <t>Wireless Mouse</t>
        </is>
      </c>
      <c r="G944" s="25" t="n">
        <v>1</v>
      </c>
      <c r="H944" s="27" t="n">
        <v>1200</v>
      </c>
      <c r="I944" s="28" t="n">
        <v>0</v>
      </c>
      <c r="J944" s="27" t="n">
        <v>650</v>
      </c>
      <c r="K944" s="27">
        <f>G944*H944*(1-I944)</f>
        <v/>
      </c>
      <c r="L944" s="27">
        <f>K944-G944*J944</f>
        <v/>
      </c>
    </row>
    <row r="945">
      <c r="A945" s="25" t="inlineStr">
        <is>
          <t>ORD-10384</t>
        </is>
      </c>
      <c r="B945" s="26" t="n">
        <v>45971</v>
      </c>
      <c r="C945" s="25">
        <f>MONTH(B945)</f>
        <v/>
      </c>
      <c r="D945" s="25" t="inlineStr">
        <is>
          <t>North</t>
        </is>
      </c>
      <c r="E945" s="25" t="inlineStr">
        <is>
          <t>Accessories</t>
        </is>
      </c>
      <c r="F945" s="25" t="inlineStr">
        <is>
          <t>Webcam</t>
        </is>
      </c>
      <c r="G945" s="25" t="n">
        <v>3</v>
      </c>
      <c r="H945" s="27" t="n">
        <v>3200</v>
      </c>
      <c r="I945" s="28" t="n">
        <v>0.15</v>
      </c>
      <c r="J945" s="27" t="n">
        <v>1900</v>
      </c>
      <c r="K945" s="27">
        <f>G945*H945*(1-I945)</f>
        <v/>
      </c>
      <c r="L945" s="27">
        <f>K945-G945*J945</f>
        <v/>
      </c>
    </row>
    <row r="946">
      <c r="A946" s="25" t="inlineStr">
        <is>
          <t>ORD-10454</t>
        </is>
      </c>
      <c r="B946" s="26" t="n">
        <v>45971</v>
      </c>
      <c r="C946" s="25">
        <f>MONTH(B946)</f>
        <v/>
      </c>
      <c r="D946" s="25" t="inlineStr">
        <is>
          <t>North</t>
        </is>
      </c>
      <c r="E946" s="25" t="inlineStr">
        <is>
          <t>Technology</t>
        </is>
      </c>
      <c r="F946" s="25" t="inlineStr">
        <is>
          <t>Monitor 24"</t>
        </is>
      </c>
      <c r="G946" s="25" t="n">
        <v>2</v>
      </c>
      <c r="H946" s="27" t="n">
        <v>11500</v>
      </c>
      <c r="I946" s="28" t="n">
        <v>0</v>
      </c>
      <c r="J946" s="27" t="n">
        <v>8200</v>
      </c>
      <c r="K946" s="27">
        <f>G946*H946*(1-I946)</f>
        <v/>
      </c>
      <c r="L946" s="27">
        <f>K946-G946*J946</f>
        <v/>
      </c>
    </row>
    <row r="947">
      <c r="A947" s="25" t="inlineStr">
        <is>
          <t>ORD-10047</t>
        </is>
      </c>
      <c r="B947" s="26" t="n">
        <v>45972</v>
      </c>
      <c r="C947" s="25">
        <f>MONTH(B947)</f>
        <v/>
      </c>
      <c r="D947" s="25" t="inlineStr">
        <is>
          <t>East</t>
        </is>
      </c>
      <c r="E947" s="25" t="inlineStr">
        <is>
          <t>Office Supplies</t>
        </is>
      </c>
      <c r="F947" s="25" t="inlineStr">
        <is>
          <t>Printer Paper Box</t>
        </is>
      </c>
      <c r="G947" s="25" t="n">
        <v>1</v>
      </c>
      <c r="H947" s="27" t="n">
        <v>1600</v>
      </c>
      <c r="I947" s="28" t="n">
        <v>0</v>
      </c>
      <c r="J947" s="27" t="n">
        <v>1050</v>
      </c>
      <c r="K947" s="27">
        <f>G947*H947*(1-I947)</f>
        <v/>
      </c>
      <c r="L947" s="27">
        <f>K947-G947*J947</f>
        <v/>
      </c>
    </row>
    <row r="948">
      <c r="A948" s="25" t="inlineStr">
        <is>
          <t>ORD-10503</t>
        </is>
      </c>
      <c r="B948" s="26" t="n">
        <v>45972</v>
      </c>
      <c r="C948" s="25">
        <f>MONTH(B948)</f>
        <v/>
      </c>
      <c r="D948" s="25" t="inlineStr">
        <is>
          <t>West</t>
        </is>
      </c>
      <c r="E948" s="25" t="inlineStr">
        <is>
          <t>Office Supplies</t>
        </is>
      </c>
      <c r="F948" s="25" t="inlineStr">
        <is>
          <t>Printer Paper Box</t>
        </is>
      </c>
      <c r="G948" s="25" t="n">
        <v>5</v>
      </c>
      <c r="H948" s="27" t="n">
        <v>1600</v>
      </c>
      <c r="I948" s="28" t="n">
        <v>0.1</v>
      </c>
      <c r="J948" s="27" t="n">
        <v>1050</v>
      </c>
      <c r="K948" s="27">
        <f>G948*H948*(1-I948)</f>
        <v/>
      </c>
      <c r="L948" s="27">
        <f>K948-G948*J948</f>
        <v/>
      </c>
    </row>
    <row r="949">
      <c r="A949" s="25" t="inlineStr">
        <is>
          <t>ORD-11054</t>
        </is>
      </c>
      <c r="B949" s="26" t="n">
        <v>45972</v>
      </c>
      <c r="C949" s="25">
        <f>MONTH(B949)</f>
        <v/>
      </c>
      <c r="D949" s="25" t="inlineStr">
        <is>
          <t>West</t>
        </is>
      </c>
      <c r="E949" s="25" t="inlineStr">
        <is>
          <t>Accessories</t>
        </is>
      </c>
      <c r="F949" s="25" t="inlineStr">
        <is>
          <t>Webcam</t>
        </is>
      </c>
      <c r="G949" s="25" t="n">
        <v>2</v>
      </c>
      <c r="H949" s="27" t="n">
        <v>3200</v>
      </c>
      <c r="I949" s="28" t="n">
        <v>0.2</v>
      </c>
      <c r="J949" s="27" t="n">
        <v>1900</v>
      </c>
      <c r="K949" s="27">
        <f>G949*H949*(1-I949)</f>
        <v/>
      </c>
      <c r="L949" s="27">
        <f>K949-G949*J949</f>
        <v/>
      </c>
    </row>
    <row r="950">
      <c r="A950" s="25" t="inlineStr">
        <is>
          <t>ORD-10648</t>
        </is>
      </c>
      <c r="B950" s="26" t="n">
        <v>45973</v>
      </c>
      <c r="C950" s="25">
        <f>MONTH(B950)</f>
        <v/>
      </c>
      <c r="D950" s="25" t="inlineStr">
        <is>
          <t>South</t>
        </is>
      </c>
      <c r="E950" s="25" t="inlineStr">
        <is>
          <t>Technology</t>
        </is>
      </c>
      <c r="F950" s="25" t="inlineStr">
        <is>
          <t>Wireless Mouse</t>
        </is>
      </c>
      <c r="G950" s="25" t="n">
        <v>1</v>
      </c>
      <c r="H950" s="27" t="n">
        <v>1200</v>
      </c>
      <c r="I950" s="28" t="n">
        <v>0</v>
      </c>
      <c r="J950" s="27" t="n">
        <v>650</v>
      </c>
      <c r="K950" s="27">
        <f>G950*H950*(1-I950)</f>
        <v/>
      </c>
      <c r="L950" s="27">
        <f>K950-G950*J950</f>
        <v/>
      </c>
    </row>
    <row r="951">
      <c r="A951" s="25" t="inlineStr">
        <is>
          <t>ORD-10694</t>
        </is>
      </c>
      <c r="B951" s="26" t="n">
        <v>45973</v>
      </c>
      <c r="C951" s="25">
        <f>MONTH(B951)</f>
        <v/>
      </c>
      <c r="D951" s="25" t="inlineStr">
        <is>
          <t>South</t>
        </is>
      </c>
      <c r="E951" s="25" t="inlineStr">
        <is>
          <t>Furniture</t>
        </is>
      </c>
      <c r="F951" s="25" t="inlineStr">
        <is>
          <t>Bookshelf</t>
        </is>
      </c>
      <c r="G951" s="25" t="n">
        <v>2</v>
      </c>
      <c r="H951" s="27" t="n">
        <v>6200</v>
      </c>
      <c r="I951" s="28" t="n">
        <v>0</v>
      </c>
      <c r="J951" s="27" t="n">
        <v>4100</v>
      </c>
      <c r="K951" s="27">
        <f>G951*H951*(1-I951)</f>
        <v/>
      </c>
      <c r="L951" s="27">
        <f>K951-G951*J951</f>
        <v/>
      </c>
    </row>
    <row r="952">
      <c r="A952" s="25" t="inlineStr">
        <is>
          <t>ORD-11131</t>
        </is>
      </c>
      <c r="B952" s="26" t="n">
        <v>45973</v>
      </c>
      <c r="C952" s="25">
        <f>MONTH(B952)</f>
        <v/>
      </c>
      <c r="D952" s="25" t="inlineStr">
        <is>
          <t>East</t>
        </is>
      </c>
      <c r="E952" s="25" t="inlineStr">
        <is>
          <t>Office Supplies</t>
        </is>
      </c>
      <c r="F952" s="25" t="inlineStr">
        <is>
          <t>Printer Paper Box</t>
        </is>
      </c>
      <c r="G952" s="25" t="n">
        <v>3</v>
      </c>
      <c r="H952" s="27" t="n">
        <v>1600</v>
      </c>
      <c r="I952" s="28" t="n">
        <v>0.2</v>
      </c>
      <c r="J952" s="27" t="n">
        <v>1050</v>
      </c>
      <c r="K952" s="27">
        <f>G952*H952*(1-I952)</f>
        <v/>
      </c>
      <c r="L952" s="27">
        <f>K952-G952*J952</f>
        <v/>
      </c>
    </row>
    <row r="953">
      <c r="A953" s="25" t="inlineStr">
        <is>
          <t>ORD-10589</t>
        </is>
      </c>
      <c r="B953" s="26" t="n">
        <v>45974</v>
      </c>
      <c r="C953" s="25">
        <f>MONTH(B953)</f>
        <v/>
      </c>
      <c r="D953" s="25" t="inlineStr">
        <is>
          <t>South</t>
        </is>
      </c>
      <c r="E953" s="25" t="inlineStr">
        <is>
          <t>Furniture</t>
        </is>
      </c>
      <c r="F953" s="25" t="inlineStr">
        <is>
          <t>Bookshelf</t>
        </is>
      </c>
      <c r="G953" s="25" t="n">
        <v>2</v>
      </c>
      <c r="H953" s="27" t="n">
        <v>6200</v>
      </c>
      <c r="I953" s="28" t="n">
        <v>0</v>
      </c>
      <c r="J953" s="27" t="n">
        <v>4100</v>
      </c>
      <c r="K953" s="27">
        <f>G953*H953*(1-I953)</f>
        <v/>
      </c>
      <c r="L953" s="27">
        <f>K953-G953*J953</f>
        <v/>
      </c>
    </row>
    <row r="954">
      <c r="A954" s="25" t="inlineStr">
        <is>
          <t>ORD-10637</t>
        </is>
      </c>
      <c r="B954" s="26" t="n">
        <v>45974</v>
      </c>
      <c r="C954" s="25">
        <f>MONTH(B954)</f>
        <v/>
      </c>
      <c r="D954" s="25" t="inlineStr">
        <is>
          <t>North</t>
        </is>
      </c>
      <c r="E954" s="25" t="inlineStr">
        <is>
          <t>Furniture</t>
        </is>
      </c>
      <c r="F954" s="25" t="inlineStr">
        <is>
          <t>Office Chair</t>
        </is>
      </c>
      <c r="G954" s="25" t="n">
        <v>2</v>
      </c>
      <c r="H954" s="27" t="n">
        <v>8500</v>
      </c>
      <c r="I954" s="28" t="n">
        <v>0.2</v>
      </c>
      <c r="J954" s="27" t="n">
        <v>5600</v>
      </c>
      <c r="K954" s="27">
        <f>G954*H954*(1-I954)</f>
        <v/>
      </c>
      <c r="L954" s="27">
        <f>K954-G954*J954</f>
        <v/>
      </c>
    </row>
    <row r="955">
      <c r="A955" s="25" t="inlineStr">
        <is>
          <t>ORD-10837</t>
        </is>
      </c>
      <c r="B955" s="26" t="n">
        <v>45974</v>
      </c>
      <c r="C955" s="25">
        <f>MONTH(B955)</f>
        <v/>
      </c>
      <c r="D955" s="25" t="inlineStr">
        <is>
          <t>East</t>
        </is>
      </c>
      <c r="E955" s="25" t="inlineStr">
        <is>
          <t>Accessories</t>
        </is>
      </c>
      <c r="F955" s="25" t="inlineStr">
        <is>
          <t>USB-C Hub</t>
        </is>
      </c>
      <c r="G955" s="25" t="n">
        <v>3</v>
      </c>
      <c r="H955" s="27" t="n">
        <v>1800</v>
      </c>
      <c r="I955" s="28" t="n">
        <v>0</v>
      </c>
      <c r="J955" s="27" t="n">
        <v>980</v>
      </c>
      <c r="K955" s="27">
        <f>G955*H955*(1-I955)</f>
        <v/>
      </c>
      <c r="L955" s="27">
        <f>K955-G955*J955</f>
        <v/>
      </c>
    </row>
    <row r="956">
      <c r="A956" s="25" t="inlineStr">
        <is>
          <t>ORD-10888</t>
        </is>
      </c>
      <c r="B956" s="26" t="n">
        <v>45974</v>
      </c>
      <c r="C956" s="25">
        <f>MONTH(B956)</f>
        <v/>
      </c>
      <c r="D956" s="25" t="inlineStr">
        <is>
          <t>South</t>
        </is>
      </c>
      <c r="E956" s="25" t="inlineStr">
        <is>
          <t>Technology</t>
        </is>
      </c>
      <c r="F956" s="25" t="inlineStr">
        <is>
          <t>Mechanical Keyboard</t>
        </is>
      </c>
      <c r="G956" s="25" t="n">
        <v>1</v>
      </c>
      <c r="H956" s="27" t="n">
        <v>4200</v>
      </c>
      <c r="I956" s="28" t="n">
        <v>0</v>
      </c>
      <c r="J956" s="27" t="n">
        <v>2500</v>
      </c>
      <c r="K956" s="27">
        <f>G956*H956*(1-I956)</f>
        <v/>
      </c>
      <c r="L956" s="27">
        <f>K956-G956*J956</f>
        <v/>
      </c>
    </row>
    <row r="957">
      <c r="A957" s="25" t="inlineStr">
        <is>
          <t>ORD-10915</t>
        </is>
      </c>
      <c r="B957" s="26" t="n">
        <v>45974</v>
      </c>
      <c r="C957" s="25">
        <f>MONTH(B957)</f>
        <v/>
      </c>
      <c r="D957" s="25" t="inlineStr">
        <is>
          <t>West</t>
        </is>
      </c>
      <c r="E957" s="25" t="inlineStr">
        <is>
          <t>Technology</t>
        </is>
      </c>
      <c r="F957" s="25" t="inlineStr">
        <is>
          <t>Mechanical Keyboard</t>
        </is>
      </c>
      <c r="G957" s="25" t="n">
        <v>3</v>
      </c>
      <c r="H957" s="27" t="n">
        <v>4200</v>
      </c>
      <c r="I957" s="28" t="n">
        <v>0.1</v>
      </c>
      <c r="J957" s="27" t="n">
        <v>2500</v>
      </c>
      <c r="K957" s="27">
        <f>G957*H957*(1-I957)</f>
        <v/>
      </c>
      <c r="L957" s="27">
        <f>K957-G957*J957</f>
        <v/>
      </c>
    </row>
    <row r="958">
      <c r="A958" s="25" t="inlineStr">
        <is>
          <t>ORD-11045</t>
        </is>
      </c>
      <c r="B958" s="26" t="n">
        <v>45974</v>
      </c>
      <c r="C958" s="25">
        <f>MONTH(B958)</f>
        <v/>
      </c>
      <c r="D958" s="25" t="inlineStr">
        <is>
          <t>West</t>
        </is>
      </c>
      <c r="E958" s="25" t="inlineStr">
        <is>
          <t>Technology</t>
        </is>
      </c>
      <c r="F958" s="25" t="inlineStr">
        <is>
          <t>Monitor 24"</t>
        </is>
      </c>
      <c r="G958" s="25" t="n">
        <v>1</v>
      </c>
      <c r="H958" s="27" t="n">
        <v>11500</v>
      </c>
      <c r="I958" s="28" t="n">
        <v>0.2</v>
      </c>
      <c r="J958" s="27" t="n">
        <v>8200</v>
      </c>
      <c r="K958" s="27">
        <f>G958*H958*(1-I958)</f>
        <v/>
      </c>
      <c r="L958" s="27">
        <f>K958-G958*J958</f>
        <v/>
      </c>
    </row>
    <row r="959">
      <c r="A959" s="25" t="inlineStr">
        <is>
          <t>ORD-11053</t>
        </is>
      </c>
      <c r="B959" s="26" t="n">
        <v>45974</v>
      </c>
      <c r="C959" s="25">
        <f>MONTH(B959)</f>
        <v/>
      </c>
      <c r="D959" s="25" t="inlineStr">
        <is>
          <t>South</t>
        </is>
      </c>
      <c r="E959" s="25" t="inlineStr">
        <is>
          <t>Technology</t>
        </is>
      </c>
      <c r="F959" s="25" t="inlineStr">
        <is>
          <t>Mechanical Keyboard</t>
        </is>
      </c>
      <c r="G959" s="25" t="n">
        <v>2</v>
      </c>
      <c r="H959" s="27" t="n">
        <v>4200</v>
      </c>
      <c r="I959" s="28" t="n">
        <v>0</v>
      </c>
      <c r="J959" s="27" t="n">
        <v>2500</v>
      </c>
      <c r="K959" s="27">
        <f>G959*H959*(1-I959)</f>
        <v/>
      </c>
      <c r="L959" s="27">
        <f>K959-G959*J959</f>
        <v/>
      </c>
    </row>
    <row r="960">
      <c r="A960" s="25" t="inlineStr">
        <is>
          <t>ORD-10672</t>
        </is>
      </c>
      <c r="B960" s="26" t="n">
        <v>45975</v>
      </c>
      <c r="C960" s="25">
        <f>MONTH(B960)</f>
        <v/>
      </c>
      <c r="D960" s="25" t="inlineStr">
        <is>
          <t>South</t>
        </is>
      </c>
      <c r="E960" s="25" t="inlineStr">
        <is>
          <t>Office Supplies</t>
        </is>
      </c>
      <c r="F960" s="25" t="inlineStr">
        <is>
          <t>Desk Organizer</t>
        </is>
      </c>
      <c r="G960" s="25" t="n">
        <v>5</v>
      </c>
      <c r="H960" s="27" t="n">
        <v>850</v>
      </c>
      <c r="I960" s="28" t="n">
        <v>0</v>
      </c>
      <c r="J960" s="27" t="n">
        <v>420</v>
      </c>
      <c r="K960" s="27">
        <f>G960*H960*(1-I960)</f>
        <v/>
      </c>
      <c r="L960" s="27">
        <f>K960-G960*J960</f>
        <v/>
      </c>
    </row>
    <row r="961">
      <c r="A961" s="25" t="inlineStr">
        <is>
          <t>ORD-10727</t>
        </is>
      </c>
      <c r="B961" s="26" t="n">
        <v>45975</v>
      </c>
      <c r="C961" s="25">
        <f>MONTH(B961)</f>
        <v/>
      </c>
      <c r="D961" s="25" t="inlineStr">
        <is>
          <t>South</t>
        </is>
      </c>
      <c r="E961" s="25" t="inlineStr">
        <is>
          <t>Office Supplies</t>
        </is>
      </c>
      <c r="F961" s="25" t="inlineStr">
        <is>
          <t>Printer Paper Box</t>
        </is>
      </c>
      <c r="G961" s="25" t="n">
        <v>1</v>
      </c>
      <c r="H961" s="27" t="n">
        <v>1600</v>
      </c>
      <c r="I961" s="28" t="n">
        <v>0</v>
      </c>
      <c r="J961" s="27" t="n">
        <v>1050</v>
      </c>
      <c r="K961" s="27">
        <f>G961*H961*(1-I961)</f>
        <v/>
      </c>
      <c r="L961" s="27">
        <f>K961-G961*J961</f>
        <v/>
      </c>
    </row>
    <row r="962">
      <c r="A962" s="25" t="inlineStr">
        <is>
          <t>ORD-11050</t>
        </is>
      </c>
      <c r="B962" s="26" t="n">
        <v>45975</v>
      </c>
      <c r="C962" s="25">
        <f>MONTH(B962)</f>
        <v/>
      </c>
      <c r="D962" s="25" t="inlineStr">
        <is>
          <t>East</t>
        </is>
      </c>
      <c r="E962" s="25" t="inlineStr">
        <is>
          <t>Technology</t>
        </is>
      </c>
      <c r="F962" s="25" t="inlineStr">
        <is>
          <t>Monitor 24"</t>
        </is>
      </c>
      <c r="G962" s="25" t="n">
        <v>2</v>
      </c>
      <c r="H962" s="27" t="n">
        <v>11500</v>
      </c>
      <c r="I962" s="28" t="n">
        <v>0</v>
      </c>
      <c r="J962" s="27" t="n">
        <v>8200</v>
      </c>
      <c r="K962" s="27">
        <f>G962*H962*(1-I962)</f>
        <v/>
      </c>
      <c r="L962" s="27">
        <f>K962-G962*J962</f>
        <v/>
      </c>
    </row>
    <row r="963">
      <c r="A963" s="25" t="inlineStr">
        <is>
          <t>ORD-10116</t>
        </is>
      </c>
      <c r="B963" s="26" t="n">
        <v>45976</v>
      </c>
      <c r="C963" s="25">
        <f>MONTH(B963)</f>
        <v/>
      </c>
      <c r="D963" s="25" t="inlineStr">
        <is>
          <t>West</t>
        </is>
      </c>
      <c r="E963" s="25" t="inlineStr">
        <is>
          <t>Office Supplies</t>
        </is>
      </c>
      <c r="F963" s="25" t="inlineStr">
        <is>
          <t>Notebook Set</t>
        </is>
      </c>
      <c r="G963" s="25" t="n">
        <v>4</v>
      </c>
      <c r="H963" s="27" t="n">
        <v>450</v>
      </c>
      <c r="I963" s="28" t="n">
        <v>0.2</v>
      </c>
      <c r="J963" s="27" t="n">
        <v>190</v>
      </c>
      <c r="K963" s="27">
        <f>G963*H963*(1-I963)</f>
        <v/>
      </c>
      <c r="L963" s="27">
        <f>K963-G963*J963</f>
        <v/>
      </c>
    </row>
    <row r="964">
      <c r="A964" s="25" t="inlineStr">
        <is>
          <t>ORD-10127</t>
        </is>
      </c>
      <c r="B964" s="26" t="n">
        <v>45976</v>
      </c>
      <c r="C964" s="25">
        <f>MONTH(B964)</f>
        <v/>
      </c>
      <c r="D964" s="25" t="inlineStr">
        <is>
          <t>West</t>
        </is>
      </c>
      <c r="E964" s="25" t="inlineStr">
        <is>
          <t>Technology</t>
        </is>
      </c>
      <c r="F964" s="25" t="inlineStr">
        <is>
          <t>Mechanical Keyboard</t>
        </is>
      </c>
      <c r="G964" s="25" t="n">
        <v>3</v>
      </c>
      <c r="H964" s="27" t="n">
        <v>4200</v>
      </c>
      <c r="I964" s="28" t="n">
        <v>0.1</v>
      </c>
      <c r="J964" s="27" t="n">
        <v>2500</v>
      </c>
      <c r="K964" s="27">
        <f>G964*H964*(1-I964)</f>
        <v/>
      </c>
      <c r="L964" s="27">
        <f>K964-G964*J964</f>
        <v/>
      </c>
    </row>
    <row r="965">
      <c r="A965" s="25" t="inlineStr">
        <is>
          <t>ORD-10137</t>
        </is>
      </c>
      <c r="B965" s="26" t="n">
        <v>45976</v>
      </c>
      <c r="C965" s="25">
        <f>MONTH(B965)</f>
        <v/>
      </c>
      <c r="D965" s="25" t="inlineStr">
        <is>
          <t>North</t>
        </is>
      </c>
      <c r="E965" s="25" t="inlineStr">
        <is>
          <t>Accessories</t>
        </is>
      </c>
      <c r="F965" s="25" t="inlineStr">
        <is>
          <t>Webcam</t>
        </is>
      </c>
      <c r="G965" s="25" t="n">
        <v>2</v>
      </c>
      <c r="H965" s="27" t="n">
        <v>3200</v>
      </c>
      <c r="I965" s="28" t="n">
        <v>0</v>
      </c>
      <c r="J965" s="27" t="n">
        <v>1900</v>
      </c>
      <c r="K965" s="27">
        <f>G965*H965*(1-I965)</f>
        <v/>
      </c>
      <c r="L965" s="27">
        <f>K965-G965*J965</f>
        <v/>
      </c>
    </row>
    <row r="966">
      <c r="A966" s="25" t="inlineStr">
        <is>
          <t>ORD-10556</t>
        </is>
      </c>
      <c r="B966" s="26" t="n">
        <v>45976</v>
      </c>
      <c r="C966" s="25">
        <f>MONTH(B966)</f>
        <v/>
      </c>
      <c r="D966" s="25" t="inlineStr">
        <is>
          <t>South</t>
        </is>
      </c>
      <c r="E966" s="25" t="inlineStr">
        <is>
          <t>Technology</t>
        </is>
      </c>
      <c r="F966" s="25" t="inlineStr">
        <is>
          <t>Wireless Mouse</t>
        </is>
      </c>
      <c r="G966" s="25" t="n">
        <v>3</v>
      </c>
      <c r="H966" s="27" t="n">
        <v>1200</v>
      </c>
      <c r="I966" s="28" t="n">
        <v>0.1</v>
      </c>
      <c r="J966" s="27" t="n">
        <v>650</v>
      </c>
      <c r="K966" s="27">
        <f>G966*H966*(1-I966)</f>
        <v/>
      </c>
      <c r="L966" s="27">
        <f>K966-G966*J966</f>
        <v/>
      </c>
    </row>
    <row r="967">
      <c r="A967" s="25" t="inlineStr">
        <is>
          <t>ORD-10569</t>
        </is>
      </c>
      <c r="B967" s="26" t="n">
        <v>45976</v>
      </c>
      <c r="C967" s="25">
        <f>MONTH(B967)</f>
        <v/>
      </c>
      <c r="D967" s="25" t="inlineStr">
        <is>
          <t>East</t>
        </is>
      </c>
      <c r="E967" s="25" t="inlineStr">
        <is>
          <t>Office Supplies</t>
        </is>
      </c>
      <c r="F967" s="25" t="inlineStr">
        <is>
          <t>Notebook Set</t>
        </is>
      </c>
      <c r="G967" s="25" t="n">
        <v>2</v>
      </c>
      <c r="H967" s="27" t="n">
        <v>450</v>
      </c>
      <c r="I967" s="28" t="n">
        <v>0</v>
      </c>
      <c r="J967" s="27" t="n">
        <v>190</v>
      </c>
      <c r="K967" s="27">
        <f>G967*H967*(1-I967)</f>
        <v/>
      </c>
      <c r="L967" s="27">
        <f>K967-G967*J967</f>
        <v/>
      </c>
    </row>
    <row r="968">
      <c r="A968" s="25" t="inlineStr">
        <is>
          <t>ORD-10571</t>
        </is>
      </c>
      <c r="B968" s="26" t="n">
        <v>45976</v>
      </c>
      <c r="C968" s="25">
        <f>MONTH(B968)</f>
        <v/>
      </c>
      <c r="D968" s="25" t="inlineStr">
        <is>
          <t>South</t>
        </is>
      </c>
      <c r="E968" s="25" t="inlineStr">
        <is>
          <t>Technology</t>
        </is>
      </c>
      <c r="F968" s="25" t="inlineStr">
        <is>
          <t>Monitor 24"</t>
        </is>
      </c>
      <c r="G968" s="25" t="n">
        <v>1</v>
      </c>
      <c r="H968" s="27" t="n">
        <v>11500</v>
      </c>
      <c r="I968" s="28" t="n">
        <v>0.15</v>
      </c>
      <c r="J968" s="27" t="n">
        <v>8200</v>
      </c>
      <c r="K968" s="27">
        <f>G968*H968*(1-I968)</f>
        <v/>
      </c>
      <c r="L968" s="27">
        <f>K968-G968*J968</f>
        <v/>
      </c>
    </row>
    <row r="969">
      <c r="A969" s="25" t="inlineStr">
        <is>
          <t>ORD-10947</t>
        </is>
      </c>
      <c r="B969" s="26" t="n">
        <v>45976</v>
      </c>
      <c r="C969" s="25">
        <f>MONTH(B969)</f>
        <v/>
      </c>
      <c r="D969" s="25" t="inlineStr">
        <is>
          <t>East</t>
        </is>
      </c>
      <c r="E969" s="25" t="inlineStr">
        <is>
          <t>Technology</t>
        </is>
      </c>
      <c r="F969" s="25" t="inlineStr">
        <is>
          <t>Wireless Mouse</t>
        </is>
      </c>
      <c r="G969" s="25" t="n">
        <v>3</v>
      </c>
      <c r="H969" s="27" t="n">
        <v>1200</v>
      </c>
      <c r="I969" s="28" t="n">
        <v>0.15</v>
      </c>
      <c r="J969" s="27" t="n">
        <v>650</v>
      </c>
      <c r="K969" s="27">
        <f>G969*H969*(1-I969)</f>
        <v/>
      </c>
      <c r="L969" s="27">
        <f>K969-G969*J969</f>
        <v/>
      </c>
    </row>
    <row r="970">
      <c r="A970" s="25" t="inlineStr">
        <is>
          <t>ORD-11032</t>
        </is>
      </c>
      <c r="B970" s="26" t="n">
        <v>45976</v>
      </c>
      <c r="C970" s="25">
        <f>MONTH(B970)</f>
        <v/>
      </c>
      <c r="D970" s="25" t="inlineStr">
        <is>
          <t>West</t>
        </is>
      </c>
      <c r="E970" s="25" t="inlineStr">
        <is>
          <t>Office Supplies</t>
        </is>
      </c>
      <c r="F970" s="25" t="inlineStr">
        <is>
          <t>Notebook Set</t>
        </is>
      </c>
      <c r="G970" s="25" t="n">
        <v>8</v>
      </c>
      <c r="H970" s="27" t="n">
        <v>450</v>
      </c>
      <c r="I970" s="28" t="n">
        <v>0</v>
      </c>
      <c r="J970" s="27" t="n">
        <v>190</v>
      </c>
      <c r="K970" s="27">
        <f>G970*H970*(1-I970)</f>
        <v/>
      </c>
      <c r="L970" s="27">
        <f>K970-G970*J970</f>
        <v/>
      </c>
    </row>
    <row r="971">
      <c r="A971" s="25" t="inlineStr">
        <is>
          <t>ORD-11109</t>
        </is>
      </c>
      <c r="B971" s="26" t="n">
        <v>45976</v>
      </c>
      <c r="C971" s="25">
        <f>MONTH(B971)</f>
        <v/>
      </c>
      <c r="D971" s="25" t="inlineStr">
        <is>
          <t>West</t>
        </is>
      </c>
      <c r="E971" s="25" t="inlineStr">
        <is>
          <t>Technology</t>
        </is>
      </c>
      <c r="F971" s="25" t="inlineStr">
        <is>
          <t>Mechanical Keyboard</t>
        </is>
      </c>
      <c r="G971" s="25" t="n">
        <v>2</v>
      </c>
      <c r="H971" s="27" t="n">
        <v>4200</v>
      </c>
      <c r="I971" s="28" t="n">
        <v>0.15</v>
      </c>
      <c r="J971" s="27" t="n">
        <v>2500</v>
      </c>
      <c r="K971" s="27">
        <f>G971*H971*(1-I971)</f>
        <v/>
      </c>
      <c r="L971" s="27">
        <f>K971-G971*J971</f>
        <v/>
      </c>
    </row>
    <row r="972">
      <c r="A972" s="25" t="inlineStr">
        <is>
          <t>ORD-10061</t>
        </is>
      </c>
      <c r="B972" s="26" t="n">
        <v>45977</v>
      </c>
      <c r="C972" s="25">
        <f>MONTH(B972)</f>
        <v/>
      </c>
      <c r="D972" s="25" t="inlineStr">
        <is>
          <t>West</t>
        </is>
      </c>
      <c r="E972" s="25" t="inlineStr">
        <is>
          <t>Accessories</t>
        </is>
      </c>
      <c r="F972" s="25" t="inlineStr">
        <is>
          <t>Webcam</t>
        </is>
      </c>
      <c r="G972" s="25" t="n">
        <v>1</v>
      </c>
      <c r="H972" s="27" t="n">
        <v>3200</v>
      </c>
      <c r="I972" s="28" t="n">
        <v>0.15</v>
      </c>
      <c r="J972" s="27" t="n">
        <v>1900</v>
      </c>
      <c r="K972" s="27">
        <f>G972*H972*(1-I972)</f>
        <v/>
      </c>
      <c r="L972" s="27">
        <f>K972-G972*J972</f>
        <v/>
      </c>
    </row>
    <row r="973">
      <c r="A973" s="25" t="inlineStr">
        <is>
          <t>ORD-10411</t>
        </is>
      </c>
      <c r="B973" s="26" t="n">
        <v>45977</v>
      </c>
      <c r="C973" s="25">
        <f>MONTH(B973)</f>
        <v/>
      </c>
      <c r="D973" s="25" t="inlineStr">
        <is>
          <t>West</t>
        </is>
      </c>
      <c r="E973" s="25" t="inlineStr">
        <is>
          <t>Furniture</t>
        </is>
      </c>
      <c r="F973" s="25" t="inlineStr">
        <is>
          <t>Office Chair</t>
        </is>
      </c>
      <c r="G973" s="25" t="n">
        <v>2</v>
      </c>
      <c r="H973" s="27" t="n">
        <v>8500</v>
      </c>
      <c r="I973" s="28" t="n">
        <v>0</v>
      </c>
      <c r="J973" s="27" t="n">
        <v>5600</v>
      </c>
      <c r="K973" s="27">
        <f>G973*H973*(1-I973)</f>
        <v/>
      </c>
      <c r="L973" s="27">
        <f>K973-G973*J973</f>
        <v/>
      </c>
    </row>
    <row r="974">
      <c r="A974" s="25" t="inlineStr">
        <is>
          <t>ORD-10972</t>
        </is>
      </c>
      <c r="B974" s="26" t="n">
        <v>45977</v>
      </c>
      <c r="C974" s="25">
        <f>MONTH(B974)</f>
        <v/>
      </c>
      <c r="D974" s="25" t="inlineStr">
        <is>
          <t>South</t>
        </is>
      </c>
      <c r="E974" s="25" t="inlineStr">
        <is>
          <t>Office Supplies</t>
        </is>
      </c>
      <c r="F974" s="25" t="inlineStr">
        <is>
          <t>Desk Organizer</t>
        </is>
      </c>
      <c r="G974" s="25" t="n">
        <v>3</v>
      </c>
      <c r="H974" s="27" t="n">
        <v>850</v>
      </c>
      <c r="I974" s="28" t="n">
        <v>0</v>
      </c>
      <c r="J974" s="27" t="n">
        <v>420</v>
      </c>
      <c r="K974" s="27">
        <f>G974*H974*(1-I974)</f>
        <v/>
      </c>
      <c r="L974" s="27">
        <f>K974-G974*J974</f>
        <v/>
      </c>
    </row>
    <row r="975">
      <c r="A975" s="25" t="inlineStr">
        <is>
          <t>ORD-10036</t>
        </is>
      </c>
      <c r="B975" s="26" t="n">
        <v>45978</v>
      </c>
      <c r="C975" s="25">
        <f>MONTH(B975)</f>
        <v/>
      </c>
      <c r="D975" s="25" t="inlineStr">
        <is>
          <t>North</t>
        </is>
      </c>
      <c r="E975" s="25" t="inlineStr">
        <is>
          <t>Technology</t>
        </is>
      </c>
      <c r="F975" s="25" t="inlineStr">
        <is>
          <t>Wireless Mouse</t>
        </is>
      </c>
      <c r="G975" s="25" t="n">
        <v>5</v>
      </c>
      <c r="H975" s="27" t="n">
        <v>1200</v>
      </c>
      <c r="I975" s="28" t="n">
        <v>0</v>
      </c>
      <c r="J975" s="27" t="n">
        <v>650</v>
      </c>
      <c r="K975" s="27">
        <f>G975*H975*(1-I975)</f>
        <v/>
      </c>
      <c r="L975" s="27">
        <f>K975-G975*J975</f>
        <v/>
      </c>
    </row>
    <row r="976">
      <c r="A976" s="25" t="inlineStr">
        <is>
          <t>ORD-10460</t>
        </is>
      </c>
      <c r="B976" s="26" t="n">
        <v>45978</v>
      </c>
      <c r="C976" s="25">
        <f>MONTH(B976)</f>
        <v/>
      </c>
      <c r="D976" s="25" t="inlineStr">
        <is>
          <t>West</t>
        </is>
      </c>
      <c r="E976" s="25" t="inlineStr">
        <is>
          <t>Technology</t>
        </is>
      </c>
      <c r="F976" s="25" t="inlineStr">
        <is>
          <t>Wireless Mouse</t>
        </is>
      </c>
      <c r="G976" s="25" t="n">
        <v>2</v>
      </c>
      <c r="H976" s="27" t="n">
        <v>1200</v>
      </c>
      <c r="I976" s="28" t="n">
        <v>0</v>
      </c>
      <c r="J976" s="27" t="n">
        <v>650</v>
      </c>
      <c r="K976" s="27">
        <f>G976*H976*(1-I976)</f>
        <v/>
      </c>
      <c r="L976" s="27">
        <f>K976-G976*J976</f>
        <v/>
      </c>
    </row>
    <row r="977">
      <c r="A977" s="25" t="inlineStr">
        <is>
          <t>ORD-10783</t>
        </is>
      </c>
      <c r="B977" s="26" t="n">
        <v>45978</v>
      </c>
      <c r="C977" s="25">
        <f>MONTH(B977)</f>
        <v/>
      </c>
      <c r="D977" s="25" t="inlineStr">
        <is>
          <t>East</t>
        </is>
      </c>
      <c r="E977" s="25" t="inlineStr">
        <is>
          <t>Office Supplies</t>
        </is>
      </c>
      <c r="F977" s="25" t="inlineStr">
        <is>
          <t>Notebook Set</t>
        </is>
      </c>
      <c r="G977" s="25" t="n">
        <v>7</v>
      </c>
      <c r="H977" s="27" t="n">
        <v>450</v>
      </c>
      <c r="I977" s="28" t="n">
        <v>0.15</v>
      </c>
      <c r="J977" s="27" t="n">
        <v>190</v>
      </c>
      <c r="K977" s="27">
        <f>G977*H977*(1-I977)</f>
        <v/>
      </c>
      <c r="L977" s="27">
        <f>K977-G977*J977</f>
        <v/>
      </c>
    </row>
    <row r="978">
      <c r="A978" s="25" t="inlineStr">
        <is>
          <t>ORD-10816</t>
        </is>
      </c>
      <c r="B978" s="26" t="n">
        <v>45978</v>
      </c>
      <c r="C978" s="25">
        <f>MONTH(B978)</f>
        <v/>
      </c>
      <c r="D978" s="25" t="inlineStr">
        <is>
          <t>South</t>
        </is>
      </c>
      <c r="E978" s="25" t="inlineStr">
        <is>
          <t>Technology</t>
        </is>
      </c>
      <c r="F978" s="25" t="inlineStr">
        <is>
          <t>Monitor 24"</t>
        </is>
      </c>
      <c r="G978" s="25" t="n">
        <v>1</v>
      </c>
      <c r="H978" s="27" t="n">
        <v>11500</v>
      </c>
      <c r="I978" s="28" t="n">
        <v>0.15</v>
      </c>
      <c r="J978" s="27" t="n">
        <v>8200</v>
      </c>
      <c r="K978" s="27">
        <f>G978*H978*(1-I978)</f>
        <v/>
      </c>
      <c r="L978" s="27">
        <f>K978-G978*J978</f>
        <v/>
      </c>
    </row>
    <row r="979">
      <c r="A979" s="25" t="inlineStr">
        <is>
          <t>ORD-10982</t>
        </is>
      </c>
      <c r="B979" s="26" t="n">
        <v>45978</v>
      </c>
      <c r="C979" s="25">
        <f>MONTH(B979)</f>
        <v/>
      </c>
      <c r="D979" s="25" t="inlineStr">
        <is>
          <t>North</t>
        </is>
      </c>
      <c r="E979" s="25" t="inlineStr">
        <is>
          <t>Technology</t>
        </is>
      </c>
      <c r="F979" s="25" t="inlineStr">
        <is>
          <t>Monitor 24"</t>
        </is>
      </c>
      <c r="G979" s="25" t="n">
        <v>2</v>
      </c>
      <c r="H979" s="27" t="n">
        <v>11500</v>
      </c>
      <c r="I979" s="28" t="n">
        <v>0</v>
      </c>
      <c r="J979" s="27" t="n">
        <v>8200</v>
      </c>
      <c r="K979" s="27">
        <f>G979*H979*(1-I979)</f>
        <v/>
      </c>
      <c r="L979" s="27">
        <f>K979-G979*J979</f>
        <v/>
      </c>
    </row>
    <row r="980">
      <c r="A980" s="25" t="inlineStr">
        <is>
          <t>ORD-10032</t>
        </is>
      </c>
      <c r="B980" s="26" t="n">
        <v>45979</v>
      </c>
      <c r="C980" s="25">
        <f>MONTH(B980)</f>
        <v/>
      </c>
      <c r="D980" s="25" t="inlineStr">
        <is>
          <t>North</t>
        </is>
      </c>
      <c r="E980" s="25" t="inlineStr">
        <is>
          <t>Technology</t>
        </is>
      </c>
      <c r="F980" s="25" t="inlineStr">
        <is>
          <t>Monitor 24"</t>
        </is>
      </c>
      <c r="G980" s="25" t="n">
        <v>2</v>
      </c>
      <c r="H980" s="27" t="n">
        <v>11500</v>
      </c>
      <c r="I980" s="28" t="n">
        <v>0.1</v>
      </c>
      <c r="J980" s="27" t="n">
        <v>8200</v>
      </c>
      <c r="K980" s="27">
        <f>G980*H980*(1-I980)</f>
        <v/>
      </c>
      <c r="L980" s="27">
        <f>K980-G980*J980</f>
        <v/>
      </c>
    </row>
    <row r="981">
      <c r="A981" s="25" t="inlineStr">
        <is>
          <t>ORD-10059</t>
        </is>
      </c>
      <c r="B981" s="26" t="n">
        <v>45979</v>
      </c>
      <c r="C981" s="25">
        <f>MONTH(B981)</f>
        <v/>
      </c>
      <c r="D981" s="25" t="inlineStr">
        <is>
          <t>West</t>
        </is>
      </c>
      <c r="E981" s="25" t="inlineStr">
        <is>
          <t>Technology</t>
        </is>
      </c>
      <c r="F981" s="25" t="inlineStr">
        <is>
          <t>Wireless Mouse</t>
        </is>
      </c>
      <c r="G981" s="25" t="n">
        <v>1</v>
      </c>
      <c r="H981" s="27" t="n">
        <v>1200</v>
      </c>
      <c r="I981" s="28" t="n">
        <v>0</v>
      </c>
      <c r="J981" s="27" t="n">
        <v>650</v>
      </c>
      <c r="K981" s="27">
        <f>G981*H981*(1-I981)</f>
        <v/>
      </c>
      <c r="L981" s="27">
        <f>K981-G981*J981</f>
        <v/>
      </c>
    </row>
    <row r="982">
      <c r="A982" s="25" t="inlineStr">
        <is>
          <t>ORD-10581</t>
        </is>
      </c>
      <c r="B982" s="26" t="n">
        <v>45979</v>
      </c>
      <c r="C982" s="25">
        <f>MONTH(B982)</f>
        <v/>
      </c>
      <c r="D982" s="25" t="inlineStr">
        <is>
          <t>West</t>
        </is>
      </c>
      <c r="E982" s="25" t="inlineStr">
        <is>
          <t>Furniture</t>
        </is>
      </c>
      <c r="F982" s="25" t="inlineStr">
        <is>
          <t>Bookshelf</t>
        </is>
      </c>
      <c r="G982" s="25" t="n">
        <v>2</v>
      </c>
      <c r="H982" s="27" t="n">
        <v>6200</v>
      </c>
      <c r="I982" s="28" t="n">
        <v>0</v>
      </c>
      <c r="J982" s="27" t="n">
        <v>4100</v>
      </c>
      <c r="K982" s="27">
        <f>G982*H982*(1-I982)</f>
        <v/>
      </c>
      <c r="L982" s="27">
        <f>K982-G982*J982</f>
        <v/>
      </c>
    </row>
    <row r="983">
      <c r="A983" s="25" t="inlineStr">
        <is>
          <t>ORD-10601</t>
        </is>
      </c>
      <c r="B983" s="26" t="n">
        <v>45979</v>
      </c>
      <c r="C983" s="25">
        <f>MONTH(B983)</f>
        <v/>
      </c>
      <c r="D983" s="25" t="inlineStr">
        <is>
          <t>East</t>
        </is>
      </c>
      <c r="E983" s="25" t="inlineStr">
        <is>
          <t>Furniture</t>
        </is>
      </c>
      <c r="F983" s="25" t="inlineStr">
        <is>
          <t>Office Chair</t>
        </is>
      </c>
      <c r="G983" s="25" t="n">
        <v>2</v>
      </c>
      <c r="H983" s="27" t="n">
        <v>8500</v>
      </c>
      <c r="I983" s="28" t="n">
        <v>0.15</v>
      </c>
      <c r="J983" s="27" t="n">
        <v>5600</v>
      </c>
      <c r="K983" s="27">
        <f>G983*H983*(1-I983)</f>
        <v/>
      </c>
      <c r="L983" s="27">
        <f>K983-G983*J983</f>
        <v/>
      </c>
    </row>
    <row r="984">
      <c r="A984" s="25" t="inlineStr">
        <is>
          <t>ORD-10622</t>
        </is>
      </c>
      <c r="B984" s="26" t="n">
        <v>45979</v>
      </c>
      <c r="C984" s="25">
        <f>MONTH(B984)</f>
        <v/>
      </c>
      <c r="D984" s="25" t="inlineStr">
        <is>
          <t>West</t>
        </is>
      </c>
      <c r="E984" s="25" t="inlineStr">
        <is>
          <t>Accessories</t>
        </is>
      </c>
      <c r="F984" s="25" t="inlineStr">
        <is>
          <t>USB-C Hub</t>
        </is>
      </c>
      <c r="G984" s="25" t="n">
        <v>4</v>
      </c>
      <c r="H984" s="27" t="n">
        <v>1800</v>
      </c>
      <c r="I984" s="28" t="n">
        <v>0</v>
      </c>
      <c r="J984" s="27" t="n">
        <v>980</v>
      </c>
      <c r="K984" s="27">
        <f>G984*H984*(1-I984)</f>
        <v/>
      </c>
      <c r="L984" s="27">
        <f>K984-G984*J984</f>
        <v/>
      </c>
    </row>
    <row r="985">
      <c r="A985" s="25" t="inlineStr">
        <is>
          <t>ORD-10623</t>
        </is>
      </c>
      <c r="B985" s="26" t="n">
        <v>45979</v>
      </c>
      <c r="C985" s="25">
        <f>MONTH(B985)</f>
        <v/>
      </c>
      <c r="D985" s="25" t="inlineStr">
        <is>
          <t>South</t>
        </is>
      </c>
      <c r="E985" s="25" t="inlineStr">
        <is>
          <t>Office Supplies</t>
        </is>
      </c>
      <c r="F985" s="25" t="inlineStr">
        <is>
          <t>Printer Paper Box</t>
        </is>
      </c>
      <c r="G985" s="25" t="n">
        <v>6</v>
      </c>
      <c r="H985" s="27" t="n">
        <v>1600</v>
      </c>
      <c r="I985" s="28" t="n">
        <v>0</v>
      </c>
      <c r="J985" s="27" t="n">
        <v>1050</v>
      </c>
      <c r="K985" s="27">
        <f>G985*H985*(1-I985)</f>
        <v/>
      </c>
      <c r="L985" s="27">
        <f>K985-G985*J985</f>
        <v/>
      </c>
    </row>
    <row r="986">
      <c r="A986" s="25" t="inlineStr">
        <is>
          <t>ORD-10723</t>
        </is>
      </c>
      <c r="B986" s="26" t="n">
        <v>45979</v>
      </c>
      <c r="C986" s="25">
        <f>MONTH(B986)</f>
        <v/>
      </c>
      <c r="D986" s="25" t="inlineStr">
        <is>
          <t>West</t>
        </is>
      </c>
      <c r="E986" s="25" t="inlineStr">
        <is>
          <t>Technology</t>
        </is>
      </c>
      <c r="F986" s="25" t="inlineStr">
        <is>
          <t>Wireless Mouse</t>
        </is>
      </c>
      <c r="G986" s="25" t="n">
        <v>3</v>
      </c>
      <c r="H986" s="27" t="n">
        <v>1200</v>
      </c>
      <c r="I986" s="28" t="n">
        <v>0</v>
      </c>
      <c r="J986" s="27" t="n">
        <v>650</v>
      </c>
      <c r="K986" s="27">
        <f>G986*H986*(1-I986)</f>
        <v/>
      </c>
      <c r="L986" s="27">
        <f>K986-G986*J986</f>
        <v/>
      </c>
    </row>
    <row r="987">
      <c r="A987" s="25" t="inlineStr">
        <is>
          <t>ORD-10871</t>
        </is>
      </c>
      <c r="B987" s="26" t="n">
        <v>45979</v>
      </c>
      <c r="C987" s="25">
        <f>MONTH(B987)</f>
        <v/>
      </c>
      <c r="D987" s="25" t="inlineStr">
        <is>
          <t>North</t>
        </is>
      </c>
      <c r="E987" s="25" t="inlineStr">
        <is>
          <t>Office Supplies</t>
        </is>
      </c>
      <c r="F987" s="25" t="inlineStr">
        <is>
          <t>Desk Organizer</t>
        </is>
      </c>
      <c r="G987" s="25" t="n">
        <v>5</v>
      </c>
      <c r="H987" s="27" t="n">
        <v>850</v>
      </c>
      <c r="I987" s="28" t="n">
        <v>0.1</v>
      </c>
      <c r="J987" s="27" t="n">
        <v>420</v>
      </c>
      <c r="K987" s="27">
        <f>G987*H987*(1-I987)</f>
        <v/>
      </c>
      <c r="L987" s="27">
        <f>K987-G987*J987</f>
        <v/>
      </c>
    </row>
    <row r="988">
      <c r="A988" s="25" t="inlineStr">
        <is>
          <t>ORD-11121</t>
        </is>
      </c>
      <c r="B988" s="26" t="n">
        <v>45979</v>
      </c>
      <c r="C988" s="25">
        <f>MONTH(B988)</f>
        <v/>
      </c>
      <c r="D988" s="25" t="inlineStr">
        <is>
          <t>South</t>
        </is>
      </c>
      <c r="E988" s="25" t="inlineStr">
        <is>
          <t>Furniture</t>
        </is>
      </c>
      <c r="F988" s="25" t="inlineStr">
        <is>
          <t>Office Chair</t>
        </is>
      </c>
      <c r="G988" s="25" t="n">
        <v>2</v>
      </c>
      <c r="H988" s="27" t="n">
        <v>8500</v>
      </c>
      <c r="I988" s="28" t="n">
        <v>0</v>
      </c>
      <c r="J988" s="27" t="n">
        <v>5600</v>
      </c>
      <c r="K988" s="27">
        <f>G988*H988*(1-I988)</f>
        <v/>
      </c>
      <c r="L988" s="27">
        <f>K988-G988*J988</f>
        <v/>
      </c>
    </row>
    <row r="989">
      <c r="A989" s="25" t="inlineStr">
        <is>
          <t>ORD-10007</t>
        </is>
      </c>
      <c r="B989" s="26" t="n">
        <v>45980</v>
      </c>
      <c r="C989" s="25">
        <f>MONTH(B989)</f>
        <v/>
      </c>
      <c r="D989" s="25" t="inlineStr">
        <is>
          <t>West</t>
        </is>
      </c>
      <c r="E989" s="25" t="inlineStr">
        <is>
          <t>Technology</t>
        </is>
      </c>
      <c r="F989" s="25" t="inlineStr">
        <is>
          <t>Wireless Mouse</t>
        </is>
      </c>
      <c r="G989" s="25" t="n">
        <v>3</v>
      </c>
      <c r="H989" s="27" t="n">
        <v>1200</v>
      </c>
      <c r="I989" s="28" t="n">
        <v>0</v>
      </c>
      <c r="J989" s="27" t="n">
        <v>650</v>
      </c>
      <c r="K989" s="27">
        <f>G989*H989*(1-I989)</f>
        <v/>
      </c>
      <c r="L989" s="27">
        <f>K989-G989*J989</f>
        <v/>
      </c>
    </row>
    <row r="990">
      <c r="A990" s="25" t="inlineStr">
        <is>
          <t>ORD-10158</t>
        </is>
      </c>
      <c r="B990" s="26" t="n">
        <v>45980</v>
      </c>
      <c r="C990" s="25">
        <f>MONTH(B990)</f>
        <v/>
      </c>
      <c r="D990" s="25" t="inlineStr">
        <is>
          <t>West</t>
        </is>
      </c>
      <c r="E990" s="25" t="inlineStr">
        <is>
          <t>Office Supplies</t>
        </is>
      </c>
      <c r="F990" s="25" t="inlineStr">
        <is>
          <t>Desk Organizer</t>
        </is>
      </c>
      <c r="G990" s="25" t="n">
        <v>4</v>
      </c>
      <c r="H990" s="27" t="n">
        <v>850</v>
      </c>
      <c r="I990" s="28" t="n">
        <v>0.15</v>
      </c>
      <c r="J990" s="27" t="n">
        <v>420</v>
      </c>
      <c r="K990" s="27">
        <f>G990*H990*(1-I990)</f>
        <v/>
      </c>
      <c r="L990" s="27">
        <f>K990-G990*J990</f>
        <v/>
      </c>
    </row>
    <row r="991">
      <c r="A991" s="25" t="inlineStr">
        <is>
          <t>ORD-10190</t>
        </is>
      </c>
      <c r="B991" s="26" t="n">
        <v>45980</v>
      </c>
      <c r="C991" s="25">
        <f>MONTH(B991)</f>
        <v/>
      </c>
      <c r="D991" s="25" t="inlineStr">
        <is>
          <t>South</t>
        </is>
      </c>
      <c r="E991" s="25" t="inlineStr">
        <is>
          <t>Technology</t>
        </is>
      </c>
      <c r="F991" s="25" t="inlineStr">
        <is>
          <t>Mechanical Keyboard</t>
        </is>
      </c>
      <c r="G991" s="25" t="n">
        <v>2</v>
      </c>
      <c r="H991" s="27" t="n">
        <v>4200</v>
      </c>
      <c r="I991" s="28" t="n">
        <v>0.2</v>
      </c>
      <c r="J991" s="27" t="n">
        <v>2500</v>
      </c>
      <c r="K991" s="27">
        <f>G991*H991*(1-I991)</f>
        <v/>
      </c>
      <c r="L991" s="27">
        <f>K991-G991*J991</f>
        <v/>
      </c>
    </row>
    <row r="992">
      <c r="A992" s="25" t="inlineStr">
        <is>
          <t>ORD-10263</t>
        </is>
      </c>
      <c r="B992" s="26" t="n">
        <v>45980</v>
      </c>
      <c r="C992" s="25">
        <f>MONTH(B992)</f>
        <v/>
      </c>
      <c r="D992" s="25" t="inlineStr">
        <is>
          <t>East</t>
        </is>
      </c>
      <c r="E992" s="25" t="inlineStr">
        <is>
          <t>Office Supplies</t>
        </is>
      </c>
      <c r="F992" s="25" t="inlineStr">
        <is>
          <t>Notebook Set</t>
        </is>
      </c>
      <c r="G992" s="25" t="n">
        <v>5</v>
      </c>
      <c r="H992" s="27" t="n">
        <v>450</v>
      </c>
      <c r="I992" s="28" t="n">
        <v>0.15</v>
      </c>
      <c r="J992" s="27" t="n">
        <v>190</v>
      </c>
      <c r="K992" s="27">
        <f>G992*H992*(1-I992)</f>
        <v/>
      </c>
      <c r="L992" s="27">
        <f>K992-G992*J992</f>
        <v/>
      </c>
    </row>
    <row r="993">
      <c r="A993" s="25" t="inlineStr">
        <is>
          <t>ORD-10266</t>
        </is>
      </c>
      <c r="B993" s="26" t="n">
        <v>45980</v>
      </c>
      <c r="C993" s="25">
        <f>MONTH(B993)</f>
        <v/>
      </c>
      <c r="D993" s="25" t="inlineStr">
        <is>
          <t>West</t>
        </is>
      </c>
      <c r="E993" s="25" t="inlineStr">
        <is>
          <t>Accessories</t>
        </is>
      </c>
      <c r="F993" s="25" t="inlineStr">
        <is>
          <t>Headphones</t>
        </is>
      </c>
      <c r="G993" s="25" t="n">
        <v>2</v>
      </c>
      <c r="H993" s="27" t="n">
        <v>4500</v>
      </c>
      <c r="I993" s="28" t="n">
        <v>0.05</v>
      </c>
      <c r="J993" s="27" t="n">
        <v>2600</v>
      </c>
      <c r="K993" s="27">
        <f>G993*H993*(1-I993)</f>
        <v/>
      </c>
      <c r="L993" s="27">
        <f>K993-G993*J993</f>
        <v/>
      </c>
    </row>
    <row r="994">
      <c r="A994" s="25" t="inlineStr">
        <is>
          <t>ORD-10268</t>
        </is>
      </c>
      <c r="B994" s="26" t="n">
        <v>45980</v>
      </c>
      <c r="C994" s="25">
        <f>MONTH(B994)</f>
        <v/>
      </c>
      <c r="D994" s="25" t="inlineStr">
        <is>
          <t>West</t>
        </is>
      </c>
      <c r="E994" s="25" t="inlineStr">
        <is>
          <t>Accessories</t>
        </is>
      </c>
      <c r="F994" s="25" t="inlineStr">
        <is>
          <t>Headphones</t>
        </is>
      </c>
      <c r="G994" s="25" t="n">
        <v>3</v>
      </c>
      <c r="H994" s="27" t="n">
        <v>4500</v>
      </c>
      <c r="I994" s="28" t="n">
        <v>0</v>
      </c>
      <c r="J994" s="27" t="n">
        <v>2600</v>
      </c>
      <c r="K994" s="27">
        <f>G994*H994*(1-I994)</f>
        <v/>
      </c>
      <c r="L994" s="27">
        <f>K994-G994*J994</f>
        <v/>
      </c>
    </row>
    <row r="995">
      <c r="A995" s="25" t="inlineStr">
        <is>
          <t>ORD-10447</t>
        </is>
      </c>
      <c r="B995" s="26" t="n">
        <v>45980</v>
      </c>
      <c r="C995" s="25">
        <f>MONTH(B995)</f>
        <v/>
      </c>
      <c r="D995" s="25" t="inlineStr">
        <is>
          <t>East</t>
        </is>
      </c>
      <c r="E995" s="25" t="inlineStr">
        <is>
          <t>Office Supplies</t>
        </is>
      </c>
      <c r="F995" s="25" t="inlineStr">
        <is>
          <t>Notebook Set</t>
        </is>
      </c>
      <c r="G995" s="25" t="n">
        <v>1</v>
      </c>
      <c r="H995" s="27" t="n">
        <v>450</v>
      </c>
      <c r="I995" s="28" t="n">
        <v>0</v>
      </c>
      <c r="J995" s="27" t="n">
        <v>190</v>
      </c>
      <c r="K995" s="27">
        <f>G995*H995*(1-I995)</f>
        <v/>
      </c>
      <c r="L995" s="27">
        <f>K995-G995*J995</f>
        <v/>
      </c>
    </row>
    <row r="996">
      <c r="A996" s="25" t="inlineStr">
        <is>
          <t>ORD-10872</t>
        </is>
      </c>
      <c r="B996" s="26" t="n">
        <v>45980</v>
      </c>
      <c r="C996" s="25">
        <f>MONTH(B996)</f>
        <v/>
      </c>
      <c r="D996" s="25" t="inlineStr">
        <is>
          <t>South</t>
        </is>
      </c>
      <c r="E996" s="25" t="inlineStr">
        <is>
          <t>Furniture</t>
        </is>
      </c>
      <c r="F996" s="25" t="inlineStr">
        <is>
          <t>Office Chair</t>
        </is>
      </c>
      <c r="G996" s="25" t="n">
        <v>1</v>
      </c>
      <c r="H996" s="27" t="n">
        <v>8500</v>
      </c>
      <c r="I996" s="28" t="n">
        <v>0.15</v>
      </c>
      <c r="J996" s="27" t="n">
        <v>5600</v>
      </c>
      <c r="K996" s="27">
        <f>G996*H996*(1-I996)</f>
        <v/>
      </c>
      <c r="L996" s="27">
        <f>K996-G996*J996</f>
        <v/>
      </c>
    </row>
    <row r="997">
      <c r="A997" s="25" t="inlineStr">
        <is>
          <t>ORD-11123</t>
        </is>
      </c>
      <c r="B997" s="26" t="n">
        <v>45980</v>
      </c>
      <c r="C997" s="25">
        <f>MONTH(B997)</f>
        <v/>
      </c>
      <c r="D997" s="25" t="inlineStr">
        <is>
          <t>South</t>
        </is>
      </c>
      <c r="E997" s="25" t="inlineStr">
        <is>
          <t>Office Supplies</t>
        </is>
      </c>
      <c r="F997" s="25" t="inlineStr">
        <is>
          <t>Notebook Set</t>
        </is>
      </c>
      <c r="G997" s="25" t="n">
        <v>8</v>
      </c>
      <c r="H997" s="27" t="n">
        <v>450</v>
      </c>
      <c r="I997" s="28" t="n">
        <v>0.1</v>
      </c>
      <c r="J997" s="27" t="n">
        <v>190</v>
      </c>
      <c r="K997" s="27">
        <f>G997*H997*(1-I997)</f>
        <v/>
      </c>
      <c r="L997" s="27">
        <f>K997-G997*J997</f>
        <v/>
      </c>
    </row>
    <row r="998">
      <c r="A998" s="25" t="inlineStr">
        <is>
          <t>ORD-10211</t>
        </is>
      </c>
      <c r="B998" s="26" t="n">
        <v>45981</v>
      </c>
      <c r="C998" s="25">
        <f>MONTH(B998)</f>
        <v/>
      </c>
      <c r="D998" s="25" t="inlineStr">
        <is>
          <t>West</t>
        </is>
      </c>
      <c r="E998" s="25" t="inlineStr">
        <is>
          <t>Accessories</t>
        </is>
      </c>
      <c r="F998" s="25" t="inlineStr">
        <is>
          <t>USB-C Hub</t>
        </is>
      </c>
      <c r="G998" s="25" t="n">
        <v>1</v>
      </c>
      <c r="H998" s="27" t="n">
        <v>1800</v>
      </c>
      <c r="I998" s="28" t="n">
        <v>0.15</v>
      </c>
      <c r="J998" s="27" t="n">
        <v>980</v>
      </c>
      <c r="K998" s="27">
        <f>G998*H998*(1-I998)</f>
        <v/>
      </c>
      <c r="L998" s="27">
        <f>K998-G998*J998</f>
        <v/>
      </c>
    </row>
    <row r="999">
      <c r="A999" s="25" t="inlineStr">
        <is>
          <t>ORD-10774</t>
        </is>
      </c>
      <c r="B999" s="26" t="n">
        <v>45981</v>
      </c>
      <c r="C999" s="25">
        <f>MONTH(B999)</f>
        <v/>
      </c>
      <c r="D999" s="25" t="inlineStr">
        <is>
          <t>West</t>
        </is>
      </c>
      <c r="E999" s="25" t="inlineStr">
        <is>
          <t>Office Supplies</t>
        </is>
      </c>
      <c r="F999" s="25" t="inlineStr">
        <is>
          <t>Printer Paper Box</t>
        </is>
      </c>
      <c r="G999" s="25" t="n">
        <v>5</v>
      </c>
      <c r="H999" s="27" t="n">
        <v>1600</v>
      </c>
      <c r="I999" s="28" t="n">
        <v>0</v>
      </c>
      <c r="J999" s="27" t="n">
        <v>1050</v>
      </c>
      <c r="K999" s="27">
        <f>G999*H999*(1-I999)</f>
        <v/>
      </c>
      <c r="L999" s="27">
        <f>K999-G999*J999</f>
        <v/>
      </c>
    </row>
    <row r="1000">
      <c r="A1000" s="25" t="inlineStr">
        <is>
          <t>ORD-10741</t>
        </is>
      </c>
      <c r="B1000" s="26" t="n">
        <v>45982</v>
      </c>
      <c r="C1000" s="25">
        <f>MONTH(B1000)</f>
        <v/>
      </c>
      <c r="D1000" s="25" t="inlineStr">
        <is>
          <t>South</t>
        </is>
      </c>
      <c r="E1000" s="25" t="inlineStr">
        <is>
          <t>Furniture</t>
        </is>
      </c>
      <c r="F1000" s="25" t="inlineStr">
        <is>
          <t>Bookshelf</t>
        </is>
      </c>
      <c r="G1000" s="25" t="n">
        <v>2</v>
      </c>
      <c r="H1000" s="27" t="n">
        <v>6200</v>
      </c>
      <c r="I1000" s="28" t="n">
        <v>0.15</v>
      </c>
      <c r="J1000" s="27" t="n">
        <v>4100</v>
      </c>
      <c r="K1000" s="27">
        <f>G1000*H1000*(1-I1000)</f>
        <v/>
      </c>
      <c r="L1000" s="27">
        <f>K1000-G1000*J1000</f>
        <v/>
      </c>
    </row>
    <row r="1001">
      <c r="A1001" s="25" t="inlineStr">
        <is>
          <t>ORD-10756</t>
        </is>
      </c>
      <c r="B1001" s="26" t="n">
        <v>45982</v>
      </c>
      <c r="C1001" s="25">
        <f>MONTH(B1001)</f>
        <v/>
      </c>
      <c r="D1001" s="25" t="inlineStr">
        <is>
          <t>South</t>
        </is>
      </c>
      <c r="E1001" s="25" t="inlineStr">
        <is>
          <t>Office Supplies</t>
        </is>
      </c>
      <c r="F1001" s="25" t="inlineStr">
        <is>
          <t>Desk Organizer</t>
        </is>
      </c>
      <c r="G1001" s="25" t="n">
        <v>2</v>
      </c>
      <c r="H1001" s="27" t="n">
        <v>850</v>
      </c>
      <c r="I1001" s="28" t="n">
        <v>0</v>
      </c>
      <c r="J1001" s="27" t="n">
        <v>420</v>
      </c>
      <c r="K1001" s="27">
        <f>G1001*H1001*(1-I1001)</f>
        <v/>
      </c>
      <c r="L1001" s="27">
        <f>K1001-G1001*J1001</f>
        <v/>
      </c>
    </row>
    <row r="1002">
      <c r="A1002" s="25" t="inlineStr">
        <is>
          <t>ORD-10936</t>
        </is>
      </c>
      <c r="B1002" s="26" t="n">
        <v>45982</v>
      </c>
      <c r="C1002" s="25">
        <f>MONTH(B1002)</f>
        <v/>
      </c>
      <c r="D1002" s="25" t="inlineStr">
        <is>
          <t>South</t>
        </is>
      </c>
      <c r="E1002" s="25" t="inlineStr">
        <is>
          <t>Technology</t>
        </is>
      </c>
      <c r="F1002" s="25" t="inlineStr">
        <is>
          <t>Wireless Mouse</t>
        </is>
      </c>
      <c r="G1002" s="25" t="n">
        <v>1</v>
      </c>
      <c r="H1002" s="27" t="n">
        <v>1200</v>
      </c>
      <c r="I1002" s="28" t="n">
        <v>0</v>
      </c>
      <c r="J1002" s="27" t="n">
        <v>650</v>
      </c>
      <c r="K1002" s="27">
        <f>G1002*H1002*(1-I1002)</f>
        <v/>
      </c>
      <c r="L1002" s="27">
        <f>K1002-G1002*J1002</f>
        <v/>
      </c>
    </row>
    <row r="1003">
      <c r="A1003" s="25" t="inlineStr">
        <is>
          <t>ORD-11094</t>
        </is>
      </c>
      <c r="B1003" s="26" t="n">
        <v>45982</v>
      </c>
      <c r="C1003" s="25">
        <f>MONTH(B1003)</f>
        <v/>
      </c>
      <c r="D1003" s="25" t="inlineStr">
        <is>
          <t>South</t>
        </is>
      </c>
      <c r="E1003" s="25" t="inlineStr">
        <is>
          <t>Accessories</t>
        </is>
      </c>
      <c r="F1003" s="25" t="inlineStr">
        <is>
          <t>USB-C Hub</t>
        </is>
      </c>
      <c r="G1003" s="25" t="n">
        <v>2</v>
      </c>
      <c r="H1003" s="27" t="n">
        <v>1800</v>
      </c>
      <c r="I1003" s="28" t="n">
        <v>0.1</v>
      </c>
      <c r="J1003" s="27" t="n">
        <v>980</v>
      </c>
      <c r="K1003" s="27">
        <f>G1003*H1003*(1-I1003)</f>
        <v/>
      </c>
      <c r="L1003" s="27">
        <f>K1003-G1003*J1003</f>
        <v/>
      </c>
    </row>
    <row r="1004">
      <c r="A1004" s="25" t="inlineStr">
        <is>
          <t>ORD-11191</t>
        </is>
      </c>
      <c r="B1004" s="26" t="n">
        <v>45982</v>
      </c>
      <c r="C1004" s="25">
        <f>MONTH(B1004)</f>
        <v/>
      </c>
      <c r="D1004" s="25" t="inlineStr">
        <is>
          <t>West</t>
        </is>
      </c>
      <c r="E1004" s="25" t="inlineStr">
        <is>
          <t>Accessories</t>
        </is>
      </c>
      <c r="F1004" s="25" t="inlineStr">
        <is>
          <t>Webcam</t>
        </is>
      </c>
      <c r="G1004" s="25" t="n">
        <v>1</v>
      </c>
      <c r="H1004" s="27" t="n">
        <v>3200</v>
      </c>
      <c r="I1004" s="28" t="n">
        <v>0</v>
      </c>
      <c r="J1004" s="27" t="n">
        <v>1900</v>
      </c>
      <c r="K1004" s="27">
        <f>G1004*H1004*(1-I1004)</f>
        <v/>
      </c>
      <c r="L1004" s="27">
        <f>K1004-G1004*J1004</f>
        <v/>
      </c>
    </row>
    <row r="1005">
      <c r="A1005" s="25" t="inlineStr">
        <is>
          <t>ORD-10580</t>
        </is>
      </c>
      <c r="B1005" s="26" t="n">
        <v>45983</v>
      </c>
      <c r="C1005" s="25">
        <f>MONTH(B1005)</f>
        <v/>
      </c>
      <c r="D1005" s="25" t="inlineStr">
        <is>
          <t>North</t>
        </is>
      </c>
      <c r="E1005" s="25" t="inlineStr">
        <is>
          <t>Furniture</t>
        </is>
      </c>
      <c r="F1005" s="25" t="inlineStr">
        <is>
          <t>Office Chair</t>
        </is>
      </c>
      <c r="G1005" s="25" t="n">
        <v>1</v>
      </c>
      <c r="H1005" s="27" t="n">
        <v>8500</v>
      </c>
      <c r="I1005" s="28" t="n">
        <v>0.1</v>
      </c>
      <c r="J1005" s="27" t="n">
        <v>5600</v>
      </c>
      <c r="K1005" s="27">
        <f>G1005*H1005*(1-I1005)</f>
        <v/>
      </c>
      <c r="L1005" s="27">
        <f>K1005-G1005*J1005</f>
        <v/>
      </c>
    </row>
    <row r="1006">
      <c r="A1006" s="25" t="inlineStr">
        <is>
          <t>ORD-10619</t>
        </is>
      </c>
      <c r="B1006" s="26" t="n">
        <v>45983</v>
      </c>
      <c r="C1006" s="25">
        <f>MONTH(B1006)</f>
        <v/>
      </c>
      <c r="D1006" s="25" t="inlineStr">
        <is>
          <t>West</t>
        </is>
      </c>
      <c r="E1006" s="25" t="inlineStr">
        <is>
          <t>Office Supplies</t>
        </is>
      </c>
      <c r="F1006" s="25" t="inlineStr">
        <is>
          <t>Notebook Set</t>
        </is>
      </c>
      <c r="G1006" s="25" t="n">
        <v>6</v>
      </c>
      <c r="H1006" s="27" t="n">
        <v>450</v>
      </c>
      <c r="I1006" s="28" t="n">
        <v>0.05</v>
      </c>
      <c r="J1006" s="27" t="n">
        <v>190</v>
      </c>
      <c r="K1006" s="27">
        <f>G1006*H1006*(1-I1006)</f>
        <v/>
      </c>
      <c r="L1006" s="27">
        <f>K1006-G1006*J1006</f>
        <v/>
      </c>
    </row>
    <row r="1007">
      <c r="A1007" s="25" t="inlineStr">
        <is>
          <t>ORD-10740</t>
        </is>
      </c>
      <c r="B1007" s="26" t="n">
        <v>45983</v>
      </c>
      <c r="C1007" s="25">
        <f>MONTH(B1007)</f>
        <v/>
      </c>
      <c r="D1007" s="25" t="inlineStr">
        <is>
          <t>North</t>
        </is>
      </c>
      <c r="E1007" s="25" t="inlineStr">
        <is>
          <t>Office Supplies</t>
        </is>
      </c>
      <c r="F1007" s="25" t="inlineStr">
        <is>
          <t>Notebook Set</t>
        </is>
      </c>
      <c r="G1007" s="25" t="n">
        <v>7</v>
      </c>
      <c r="H1007" s="27" t="n">
        <v>450</v>
      </c>
      <c r="I1007" s="28" t="n">
        <v>0.2</v>
      </c>
      <c r="J1007" s="27" t="n">
        <v>190</v>
      </c>
      <c r="K1007" s="27">
        <f>G1007*H1007*(1-I1007)</f>
        <v/>
      </c>
      <c r="L1007" s="27">
        <f>K1007-G1007*J1007</f>
        <v/>
      </c>
    </row>
    <row r="1008">
      <c r="A1008" s="25" t="inlineStr">
        <is>
          <t>ORD-11023</t>
        </is>
      </c>
      <c r="B1008" s="26" t="n">
        <v>45983</v>
      </c>
      <c r="C1008" s="25">
        <f>MONTH(B1008)</f>
        <v/>
      </c>
      <c r="D1008" s="25" t="inlineStr">
        <is>
          <t>South</t>
        </is>
      </c>
      <c r="E1008" s="25" t="inlineStr">
        <is>
          <t>Office Supplies</t>
        </is>
      </c>
      <c r="F1008" s="25" t="inlineStr">
        <is>
          <t>Desk Organizer</t>
        </is>
      </c>
      <c r="G1008" s="25" t="n">
        <v>3</v>
      </c>
      <c r="H1008" s="27" t="n">
        <v>850</v>
      </c>
      <c r="I1008" s="28" t="n">
        <v>0</v>
      </c>
      <c r="J1008" s="27" t="n">
        <v>420</v>
      </c>
      <c r="K1008" s="27">
        <f>G1008*H1008*(1-I1008)</f>
        <v/>
      </c>
      <c r="L1008" s="27">
        <f>K1008-G1008*J1008</f>
        <v/>
      </c>
    </row>
    <row r="1009">
      <c r="A1009" s="25" t="inlineStr">
        <is>
          <t>ORD-11061</t>
        </is>
      </c>
      <c r="B1009" s="26" t="n">
        <v>45983</v>
      </c>
      <c r="C1009" s="25">
        <f>MONTH(B1009)</f>
        <v/>
      </c>
      <c r="D1009" s="25" t="inlineStr">
        <is>
          <t>West</t>
        </is>
      </c>
      <c r="E1009" s="25" t="inlineStr">
        <is>
          <t>Office Supplies</t>
        </is>
      </c>
      <c r="F1009" s="25" t="inlineStr">
        <is>
          <t>Notebook Set</t>
        </is>
      </c>
      <c r="G1009" s="25" t="n">
        <v>7</v>
      </c>
      <c r="H1009" s="27" t="n">
        <v>450</v>
      </c>
      <c r="I1009" s="28" t="n">
        <v>0.05</v>
      </c>
      <c r="J1009" s="27" t="n">
        <v>190</v>
      </c>
      <c r="K1009" s="27">
        <f>G1009*H1009*(1-I1009)</f>
        <v/>
      </c>
      <c r="L1009" s="27">
        <f>K1009-G1009*J1009</f>
        <v/>
      </c>
    </row>
    <row r="1010">
      <c r="A1010" s="25" t="inlineStr">
        <is>
          <t>ORD-10226</t>
        </is>
      </c>
      <c r="B1010" s="26" t="n">
        <v>45984</v>
      </c>
      <c r="C1010" s="25">
        <f>MONTH(B1010)</f>
        <v/>
      </c>
      <c r="D1010" s="25" t="inlineStr">
        <is>
          <t>North</t>
        </is>
      </c>
      <c r="E1010" s="25" t="inlineStr">
        <is>
          <t>Office Supplies</t>
        </is>
      </c>
      <c r="F1010" s="25" t="inlineStr">
        <is>
          <t>Printer Paper Box</t>
        </is>
      </c>
      <c r="G1010" s="25" t="n">
        <v>4</v>
      </c>
      <c r="H1010" s="27" t="n">
        <v>1600</v>
      </c>
      <c r="I1010" s="28" t="n">
        <v>0</v>
      </c>
      <c r="J1010" s="27" t="n">
        <v>1050</v>
      </c>
      <c r="K1010" s="27">
        <f>G1010*H1010*(1-I1010)</f>
        <v/>
      </c>
      <c r="L1010" s="27">
        <f>K1010-G1010*J1010</f>
        <v/>
      </c>
    </row>
    <row r="1011">
      <c r="A1011" s="25" t="inlineStr">
        <is>
          <t>ORD-10525</t>
        </is>
      </c>
      <c r="B1011" s="26" t="n">
        <v>45984</v>
      </c>
      <c r="C1011" s="25">
        <f>MONTH(B1011)</f>
        <v/>
      </c>
      <c r="D1011" s="25" t="inlineStr">
        <is>
          <t>South</t>
        </is>
      </c>
      <c r="E1011" s="25" t="inlineStr">
        <is>
          <t>Furniture</t>
        </is>
      </c>
      <c r="F1011" s="25" t="inlineStr">
        <is>
          <t>Office Chair</t>
        </is>
      </c>
      <c r="G1011" s="25" t="n">
        <v>2</v>
      </c>
      <c r="H1011" s="27" t="n">
        <v>8500</v>
      </c>
      <c r="I1011" s="28" t="n">
        <v>0.1</v>
      </c>
      <c r="J1011" s="27" t="n">
        <v>5600</v>
      </c>
      <c r="K1011" s="27">
        <f>G1011*H1011*(1-I1011)</f>
        <v/>
      </c>
      <c r="L1011" s="27">
        <f>K1011-G1011*J1011</f>
        <v/>
      </c>
    </row>
    <row r="1012">
      <c r="A1012" s="25" t="inlineStr">
        <is>
          <t>ORD-10529</t>
        </is>
      </c>
      <c r="B1012" s="26" t="n">
        <v>45984</v>
      </c>
      <c r="C1012" s="25">
        <f>MONTH(B1012)</f>
        <v/>
      </c>
      <c r="D1012" s="25" t="inlineStr">
        <is>
          <t>West</t>
        </is>
      </c>
      <c r="E1012" s="25" t="inlineStr">
        <is>
          <t>Office Supplies</t>
        </is>
      </c>
      <c r="F1012" s="25" t="inlineStr">
        <is>
          <t>Notebook Set</t>
        </is>
      </c>
      <c r="G1012" s="25" t="n">
        <v>2</v>
      </c>
      <c r="H1012" s="27" t="n">
        <v>450</v>
      </c>
      <c r="I1012" s="28" t="n">
        <v>0.1</v>
      </c>
      <c r="J1012" s="27" t="n">
        <v>190</v>
      </c>
      <c r="K1012" s="27">
        <f>G1012*H1012*(1-I1012)</f>
        <v/>
      </c>
      <c r="L1012" s="27">
        <f>K1012-G1012*J1012</f>
        <v/>
      </c>
    </row>
    <row r="1013">
      <c r="A1013" s="25" t="inlineStr">
        <is>
          <t>ORD-10532</t>
        </is>
      </c>
      <c r="B1013" s="26" t="n">
        <v>45984</v>
      </c>
      <c r="C1013" s="25">
        <f>MONTH(B1013)</f>
        <v/>
      </c>
      <c r="D1013" s="25" t="inlineStr">
        <is>
          <t>North</t>
        </is>
      </c>
      <c r="E1013" s="25" t="inlineStr">
        <is>
          <t>Office Supplies</t>
        </is>
      </c>
      <c r="F1013" s="25" t="inlineStr">
        <is>
          <t>Notebook Set</t>
        </is>
      </c>
      <c r="G1013" s="25" t="n">
        <v>5</v>
      </c>
      <c r="H1013" s="27" t="n">
        <v>450</v>
      </c>
      <c r="I1013" s="28" t="n">
        <v>0</v>
      </c>
      <c r="J1013" s="27" t="n">
        <v>190</v>
      </c>
      <c r="K1013" s="27">
        <f>G1013*H1013*(1-I1013)</f>
        <v/>
      </c>
      <c r="L1013" s="27">
        <f>K1013-G1013*J1013</f>
        <v/>
      </c>
    </row>
    <row r="1014">
      <c r="A1014" s="25" t="inlineStr">
        <is>
          <t>ORD-10550</t>
        </is>
      </c>
      <c r="B1014" s="26" t="n">
        <v>45984</v>
      </c>
      <c r="C1014" s="25">
        <f>MONTH(B1014)</f>
        <v/>
      </c>
      <c r="D1014" s="25" t="inlineStr">
        <is>
          <t>West</t>
        </is>
      </c>
      <c r="E1014" s="25" t="inlineStr">
        <is>
          <t>Technology</t>
        </is>
      </c>
      <c r="F1014" s="25" t="inlineStr">
        <is>
          <t>Monitor 24"</t>
        </is>
      </c>
      <c r="G1014" s="25" t="n">
        <v>1</v>
      </c>
      <c r="H1014" s="27" t="n">
        <v>11500</v>
      </c>
      <c r="I1014" s="28" t="n">
        <v>0</v>
      </c>
      <c r="J1014" s="27" t="n">
        <v>8200</v>
      </c>
      <c r="K1014" s="27">
        <f>G1014*H1014*(1-I1014)</f>
        <v/>
      </c>
      <c r="L1014" s="27">
        <f>K1014-G1014*J1014</f>
        <v/>
      </c>
    </row>
    <row r="1015">
      <c r="A1015" s="25" t="inlineStr">
        <is>
          <t>ORD-10739</t>
        </is>
      </c>
      <c r="B1015" s="26" t="n">
        <v>45984</v>
      </c>
      <c r="C1015" s="25">
        <f>MONTH(B1015)</f>
        <v/>
      </c>
      <c r="D1015" s="25" t="inlineStr">
        <is>
          <t>West</t>
        </is>
      </c>
      <c r="E1015" s="25" t="inlineStr">
        <is>
          <t>Accessories</t>
        </is>
      </c>
      <c r="F1015" s="25" t="inlineStr">
        <is>
          <t>USB-C Hub</t>
        </is>
      </c>
      <c r="G1015" s="25" t="n">
        <v>3</v>
      </c>
      <c r="H1015" s="27" t="n">
        <v>1800</v>
      </c>
      <c r="I1015" s="28" t="n">
        <v>0</v>
      </c>
      <c r="J1015" s="27" t="n">
        <v>980</v>
      </c>
      <c r="K1015" s="27">
        <f>G1015*H1015*(1-I1015)</f>
        <v/>
      </c>
      <c r="L1015" s="27">
        <f>K1015-G1015*J1015</f>
        <v/>
      </c>
    </row>
    <row r="1016">
      <c r="A1016" s="25" t="inlineStr">
        <is>
          <t>ORD-10952</t>
        </is>
      </c>
      <c r="B1016" s="26" t="n">
        <v>45984</v>
      </c>
      <c r="C1016" s="25">
        <f>MONTH(B1016)</f>
        <v/>
      </c>
      <c r="D1016" s="25" t="inlineStr">
        <is>
          <t>North</t>
        </is>
      </c>
      <c r="E1016" s="25" t="inlineStr">
        <is>
          <t>Furniture</t>
        </is>
      </c>
      <c r="F1016" s="25" t="inlineStr">
        <is>
          <t>Office Chair</t>
        </is>
      </c>
      <c r="G1016" s="25" t="n">
        <v>2</v>
      </c>
      <c r="H1016" s="27" t="n">
        <v>8500</v>
      </c>
      <c r="I1016" s="28" t="n">
        <v>0</v>
      </c>
      <c r="J1016" s="27" t="n">
        <v>5600</v>
      </c>
      <c r="K1016" s="27">
        <f>G1016*H1016*(1-I1016)</f>
        <v/>
      </c>
      <c r="L1016" s="27">
        <f>K1016-G1016*J1016</f>
        <v/>
      </c>
    </row>
    <row r="1017">
      <c r="A1017" s="25" t="inlineStr">
        <is>
          <t>ORD-10996</t>
        </is>
      </c>
      <c r="B1017" s="26" t="n">
        <v>45984</v>
      </c>
      <c r="C1017" s="25">
        <f>MONTH(B1017)</f>
        <v/>
      </c>
      <c r="D1017" s="25" t="inlineStr">
        <is>
          <t>West</t>
        </is>
      </c>
      <c r="E1017" s="25" t="inlineStr">
        <is>
          <t>Technology</t>
        </is>
      </c>
      <c r="F1017" s="25" t="inlineStr">
        <is>
          <t>Wireless Mouse</t>
        </is>
      </c>
      <c r="G1017" s="25" t="n">
        <v>2</v>
      </c>
      <c r="H1017" s="27" t="n">
        <v>1200</v>
      </c>
      <c r="I1017" s="28" t="n">
        <v>0.15</v>
      </c>
      <c r="J1017" s="27" t="n">
        <v>650</v>
      </c>
      <c r="K1017" s="27">
        <f>G1017*H1017*(1-I1017)</f>
        <v/>
      </c>
      <c r="L1017" s="27">
        <f>K1017-G1017*J1017</f>
        <v/>
      </c>
    </row>
    <row r="1018">
      <c r="A1018" s="25" t="inlineStr">
        <is>
          <t>ORD-10064</t>
        </is>
      </c>
      <c r="B1018" s="26" t="n">
        <v>45985</v>
      </c>
      <c r="C1018" s="25">
        <f>MONTH(B1018)</f>
        <v/>
      </c>
      <c r="D1018" s="25" t="inlineStr">
        <is>
          <t>North</t>
        </is>
      </c>
      <c r="E1018" s="25" t="inlineStr">
        <is>
          <t>Accessories</t>
        </is>
      </c>
      <c r="F1018" s="25" t="inlineStr">
        <is>
          <t>Webcam</t>
        </is>
      </c>
      <c r="G1018" s="25" t="n">
        <v>3</v>
      </c>
      <c r="H1018" s="27" t="n">
        <v>3200</v>
      </c>
      <c r="I1018" s="28" t="n">
        <v>0.2</v>
      </c>
      <c r="J1018" s="27" t="n">
        <v>1900</v>
      </c>
      <c r="K1018" s="27">
        <f>G1018*H1018*(1-I1018)</f>
        <v/>
      </c>
      <c r="L1018" s="27">
        <f>K1018-G1018*J1018</f>
        <v/>
      </c>
    </row>
    <row r="1019">
      <c r="A1019" s="25" t="inlineStr">
        <is>
          <t>ORD-10269</t>
        </is>
      </c>
      <c r="B1019" s="26" t="n">
        <v>45985</v>
      </c>
      <c r="C1019" s="25">
        <f>MONTH(B1019)</f>
        <v/>
      </c>
      <c r="D1019" s="25" t="inlineStr">
        <is>
          <t>West</t>
        </is>
      </c>
      <c r="E1019" s="25" t="inlineStr">
        <is>
          <t>Technology</t>
        </is>
      </c>
      <c r="F1019" s="25" t="inlineStr">
        <is>
          <t>Wireless Mouse</t>
        </is>
      </c>
      <c r="G1019" s="25" t="n">
        <v>4</v>
      </c>
      <c r="H1019" s="27" t="n">
        <v>1200</v>
      </c>
      <c r="I1019" s="28" t="n">
        <v>0.05</v>
      </c>
      <c r="J1019" s="27" t="n">
        <v>650</v>
      </c>
      <c r="K1019" s="27">
        <f>G1019*H1019*(1-I1019)</f>
        <v/>
      </c>
      <c r="L1019" s="27">
        <f>K1019-G1019*J1019</f>
        <v/>
      </c>
    </row>
    <row r="1020">
      <c r="A1020" s="25" t="inlineStr">
        <is>
          <t>ORD-10325</t>
        </is>
      </c>
      <c r="B1020" s="26" t="n">
        <v>45985</v>
      </c>
      <c r="C1020" s="25">
        <f>MONTH(B1020)</f>
        <v/>
      </c>
      <c r="D1020" s="25" t="inlineStr">
        <is>
          <t>East</t>
        </is>
      </c>
      <c r="E1020" s="25" t="inlineStr">
        <is>
          <t>Office Supplies</t>
        </is>
      </c>
      <c r="F1020" s="25" t="inlineStr">
        <is>
          <t>Notebook Set</t>
        </is>
      </c>
      <c r="G1020" s="25" t="n">
        <v>6</v>
      </c>
      <c r="H1020" s="27" t="n">
        <v>450</v>
      </c>
      <c r="I1020" s="28" t="n">
        <v>0</v>
      </c>
      <c r="J1020" s="27" t="n">
        <v>190</v>
      </c>
      <c r="K1020" s="27">
        <f>G1020*H1020*(1-I1020)</f>
        <v/>
      </c>
      <c r="L1020" s="27">
        <f>K1020-G1020*J1020</f>
        <v/>
      </c>
    </row>
    <row r="1021">
      <c r="A1021" s="25" t="inlineStr">
        <is>
          <t>ORD-10541</t>
        </is>
      </c>
      <c r="B1021" s="26" t="n">
        <v>45985</v>
      </c>
      <c r="C1021" s="25">
        <f>MONTH(B1021)</f>
        <v/>
      </c>
      <c r="D1021" s="25" t="inlineStr">
        <is>
          <t>South</t>
        </is>
      </c>
      <c r="E1021" s="25" t="inlineStr">
        <is>
          <t>Furniture</t>
        </is>
      </c>
      <c r="F1021" s="25" t="inlineStr">
        <is>
          <t>Standing Desk</t>
        </is>
      </c>
      <c r="G1021" s="25" t="n">
        <v>1</v>
      </c>
      <c r="H1021" s="27" t="n">
        <v>19500</v>
      </c>
      <c r="I1021" s="28" t="n">
        <v>0</v>
      </c>
      <c r="J1021" s="27" t="n">
        <v>13800</v>
      </c>
      <c r="K1021" s="27">
        <f>G1021*H1021*(1-I1021)</f>
        <v/>
      </c>
      <c r="L1021" s="27">
        <f>K1021-G1021*J1021</f>
        <v/>
      </c>
    </row>
    <row r="1022">
      <c r="A1022" s="25" t="inlineStr">
        <is>
          <t>ORD-10927</t>
        </is>
      </c>
      <c r="B1022" s="26" t="n">
        <v>45985</v>
      </c>
      <c r="C1022" s="25">
        <f>MONTH(B1022)</f>
        <v/>
      </c>
      <c r="D1022" s="25" t="inlineStr">
        <is>
          <t>South</t>
        </is>
      </c>
      <c r="E1022" s="25" t="inlineStr">
        <is>
          <t>Accessories</t>
        </is>
      </c>
      <c r="F1022" s="25" t="inlineStr">
        <is>
          <t>USB-C Hub</t>
        </is>
      </c>
      <c r="G1022" s="25" t="n">
        <v>4</v>
      </c>
      <c r="H1022" s="27" t="n">
        <v>1800</v>
      </c>
      <c r="I1022" s="28" t="n">
        <v>0.1</v>
      </c>
      <c r="J1022" s="27" t="n">
        <v>980</v>
      </c>
      <c r="K1022" s="27">
        <f>G1022*H1022*(1-I1022)</f>
        <v/>
      </c>
      <c r="L1022" s="27">
        <f>K1022-G1022*J1022</f>
        <v/>
      </c>
    </row>
    <row r="1023">
      <c r="A1023" s="25" t="inlineStr">
        <is>
          <t>ORD-10963</t>
        </is>
      </c>
      <c r="B1023" s="26" t="n">
        <v>45985</v>
      </c>
      <c r="C1023" s="25">
        <f>MONTH(B1023)</f>
        <v/>
      </c>
      <c r="D1023" s="25" t="inlineStr">
        <is>
          <t>West</t>
        </is>
      </c>
      <c r="E1023" s="25" t="inlineStr">
        <is>
          <t>Furniture</t>
        </is>
      </c>
      <c r="F1023" s="25" t="inlineStr">
        <is>
          <t>Bookshelf</t>
        </is>
      </c>
      <c r="G1023" s="25" t="n">
        <v>2</v>
      </c>
      <c r="H1023" s="27" t="n">
        <v>6200</v>
      </c>
      <c r="I1023" s="28" t="n">
        <v>0.15</v>
      </c>
      <c r="J1023" s="27" t="n">
        <v>4100</v>
      </c>
      <c r="K1023" s="27">
        <f>G1023*H1023*(1-I1023)</f>
        <v/>
      </c>
      <c r="L1023" s="27">
        <f>K1023-G1023*J1023</f>
        <v/>
      </c>
    </row>
    <row r="1024">
      <c r="A1024" s="25" t="inlineStr">
        <is>
          <t>ORD-11163</t>
        </is>
      </c>
      <c r="B1024" s="26" t="n">
        <v>45985</v>
      </c>
      <c r="C1024" s="25">
        <f>MONTH(B1024)</f>
        <v/>
      </c>
      <c r="D1024" s="25" t="inlineStr">
        <is>
          <t>West</t>
        </is>
      </c>
      <c r="E1024" s="25" t="inlineStr">
        <is>
          <t>Accessories</t>
        </is>
      </c>
      <c r="F1024" s="25" t="inlineStr">
        <is>
          <t>Headphones</t>
        </is>
      </c>
      <c r="G1024" s="25" t="n">
        <v>3</v>
      </c>
      <c r="H1024" s="27" t="n">
        <v>4500</v>
      </c>
      <c r="I1024" s="28" t="n">
        <v>0.05</v>
      </c>
      <c r="J1024" s="27" t="n">
        <v>2600</v>
      </c>
      <c r="K1024" s="27">
        <f>G1024*H1024*(1-I1024)</f>
        <v/>
      </c>
      <c r="L1024" s="27">
        <f>K1024-G1024*J1024</f>
        <v/>
      </c>
    </row>
    <row r="1025">
      <c r="A1025" s="25" t="inlineStr">
        <is>
          <t>ORD-10139</t>
        </is>
      </c>
      <c r="B1025" s="26" t="n">
        <v>45986</v>
      </c>
      <c r="C1025" s="25">
        <f>MONTH(B1025)</f>
        <v/>
      </c>
      <c r="D1025" s="25" t="inlineStr">
        <is>
          <t>South</t>
        </is>
      </c>
      <c r="E1025" s="25" t="inlineStr">
        <is>
          <t>Office Supplies</t>
        </is>
      </c>
      <c r="F1025" s="25" t="inlineStr">
        <is>
          <t>Printer Paper Box</t>
        </is>
      </c>
      <c r="G1025" s="25" t="n">
        <v>5</v>
      </c>
      <c r="H1025" s="27" t="n">
        <v>1600</v>
      </c>
      <c r="I1025" s="28" t="n">
        <v>0.15</v>
      </c>
      <c r="J1025" s="27" t="n">
        <v>1050</v>
      </c>
      <c r="K1025" s="27">
        <f>G1025*H1025*(1-I1025)</f>
        <v/>
      </c>
      <c r="L1025" s="27">
        <f>K1025-G1025*J1025</f>
        <v/>
      </c>
    </row>
    <row r="1026">
      <c r="A1026" s="25" t="inlineStr">
        <is>
          <t>ORD-10189</t>
        </is>
      </c>
      <c r="B1026" s="26" t="n">
        <v>45986</v>
      </c>
      <c r="C1026" s="25">
        <f>MONTH(B1026)</f>
        <v/>
      </c>
      <c r="D1026" s="25" t="inlineStr">
        <is>
          <t>West</t>
        </is>
      </c>
      <c r="E1026" s="25" t="inlineStr">
        <is>
          <t>Furniture</t>
        </is>
      </c>
      <c r="F1026" s="25" t="inlineStr">
        <is>
          <t>Office Chair</t>
        </is>
      </c>
      <c r="G1026" s="25" t="n">
        <v>2</v>
      </c>
      <c r="H1026" s="27" t="n">
        <v>8500</v>
      </c>
      <c r="I1026" s="28" t="n">
        <v>0</v>
      </c>
      <c r="J1026" s="27" t="n">
        <v>5600</v>
      </c>
      <c r="K1026" s="27">
        <f>G1026*H1026*(1-I1026)</f>
        <v/>
      </c>
      <c r="L1026" s="27">
        <f>K1026-G1026*J1026</f>
        <v/>
      </c>
    </row>
    <row r="1027">
      <c r="A1027" s="25" t="inlineStr">
        <is>
          <t>ORD-10431</t>
        </is>
      </c>
      <c r="B1027" s="26" t="n">
        <v>45986</v>
      </c>
      <c r="C1027" s="25">
        <f>MONTH(B1027)</f>
        <v/>
      </c>
      <c r="D1027" s="25" t="inlineStr">
        <is>
          <t>South</t>
        </is>
      </c>
      <c r="E1027" s="25" t="inlineStr">
        <is>
          <t>Office Supplies</t>
        </is>
      </c>
      <c r="F1027" s="25" t="inlineStr">
        <is>
          <t>Notebook Set</t>
        </is>
      </c>
      <c r="G1027" s="25" t="n">
        <v>4</v>
      </c>
      <c r="H1027" s="27" t="n">
        <v>450</v>
      </c>
      <c r="I1027" s="28" t="n">
        <v>0.05</v>
      </c>
      <c r="J1027" s="27" t="n">
        <v>190</v>
      </c>
      <c r="K1027" s="27">
        <f>G1027*H1027*(1-I1027)</f>
        <v/>
      </c>
      <c r="L1027" s="27">
        <f>K1027-G1027*J1027</f>
        <v/>
      </c>
    </row>
    <row r="1028">
      <c r="A1028" s="25" t="inlineStr">
        <is>
          <t>ORD-10590</t>
        </is>
      </c>
      <c r="B1028" s="26" t="n">
        <v>45986</v>
      </c>
      <c r="C1028" s="25">
        <f>MONTH(B1028)</f>
        <v/>
      </c>
      <c r="D1028" s="25" t="inlineStr">
        <is>
          <t>South</t>
        </is>
      </c>
      <c r="E1028" s="25" t="inlineStr">
        <is>
          <t>Office Supplies</t>
        </is>
      </c>
      <c r="F1028" s="25" t="inlineStr">
        <is>
          <t>Printer Paper Box</t>
        </is>
      </c>
      <c r="G1028" s="25" t="n">
        <v>1</v>
      </c>
      <c r="H1028" s="27" t="n">
        <v>1600</v>
      </c>
      <c r="I1028" s="28" t="n">
        <v>0</v>
      </c>
      <c r="J1028" s="27" t="n">
        <v>1050</v>
      </c>
      <c r="K1028" s="27">
        <f>G1028*H1028*(1-I1028)</f>
        <v/>
      </c>
      <c r="L1028" s="27">
        <f>K1028-G1028*J1028</f>
        <v/>
      </c>
    </row>
    <row r="1029">
      <c r="A1029" s="25" t="inlineStr">
        <is>
          <t>ORD-10704</t>
        </is>
      </c>
      <c r="B1029" s="26" t="n">
        <v>45986</v>
      </c>
      <c r="C1029" s="25">
        <f>MONTH(B1029)</f>
        <v/>
      </c>
      <c r="D1029" s="25" t="inlineStr">
        <is>
          <t>West</t>
        </is>
      </c>
      <c r="E1029" s="25" t="inlineStr">
        <is>
          <t>Accessories</t>
        </is>
      </c>
      <c r="F1029" s="25" t="inlineStr">
        <is>
          <t>USB-C Hub</t>
        </is>
      </c>
      <c r="G1029" s="25" t="n">
        <v>1</v>
      </c>
      <c r="H1029" s="27" t="n">
        <v>1800</v>
      </c>
      <c r="I1029" s="28" t="n">
        <v>0</v>
      </c>
      <c r="J1029" s="27" t="n">
        <v>980</v>
      </c>
      <c r="K1029" s="27">
        <f>G1029*H1029*(1-I1029)</f>
        <v/>
      </c>
      <c r="L1029" s="27">
        <f>K1029-G1029*J1029</f>
        <v/>
      </c>
    </row>
    <row r="1030">
      <c r="A1030" s="25" t="inlineStr">
        <is>
          <t>ORD-10765</t>
        </is>
      </c>
      <c r="B1030" s="26" t="n">
        <v>45986</v>
      </c>
      <c r="C1030" s="25">
        <f>MONTH(B1030)</f>
        <v/>
      </c>
      <c r="D1030" s="25" t="inlineStr">
        <is>
          <t>North</t>
        </is>
      </c>
      <c r="E1030" s="25" t="inlineStr">
        <is>
          <t>Office Supplies</t>
        </is>
      </c>
      <c r="F1030" s="25" t="inlineStr">
        <is>
          <t>Notebook Set</t>
        </is>
      </c>
      <c r="G1030" s="25" t="n">
        <v>3</v>
      </c>
      <c r="H1030" s="27" t="n">
        <v>450</v>
      </c>
      <c r="I1030" s="28" t="n">
        <v>0</v>
      </c>
      <c r="J1030" s="27" t="n">
        <v>190</v>
      </c>
      <c r="K1030" s="27">
        <f>G1030*H1030*(1-I1030)</f>
        <v/>
      </c>
      <c r="L1030" s="27">
        <f>K1030-G1030*J1030</f>
        <v/>
      </c>
    </row>
    <row r="1031">
      <c r="A1031" s="25" t="inlineStr">
        <is>
          <t>ORD-10875</t>
        </is>
      </c>
      <c r="B1031" s="26" t="n">
        <v>45986</v>
      </c>
      <c r="C1031" s="25">
        <f>MONTH(B1031)</f>
        <v/>
      </c>
      <c r="D1031" s="25" t="inlineStr">
        <is>
          <t>North</t>
        </is>
      </c>
      <c r="E1031" s="25" t="inlineStr">
        <is>
          <t>Furniture</t>
        </is>
      </c>
      <c r="F1031" s="25" t="inlineStr">
        <is>
          <t>Bookshelf</t>
        </is>
      </c>
      <c r="G1031" s="25" t="n">
        <v>3</v>
      </c>
      <c r="H1031" s="27" t="n">
        <v>6200</v>
      </c>
      <c r="I1031" s="28" t="n">
        <v>0</v>
      </c>
      <c r="J1031" s="27" t="n">
        <v>4100</v>
      </c>
      <c r="K1031" s="27">
        <f>G1031*H1031*(1-I1031)</f>
        <v/>
      </c>
      <c r="L1031" s="27">
        <f>K1031-G1031*J1031</f>
        <v/>
      </c>
    </row>
    <row r="1032">
      <c r="A1032" s="25" t="inlineStr">
        <is>
          <t>ORD-10443</t>
        </is>
      </c>
      <c r="B1032" s="26" t="n">
        <v>45987</v>
      </c>
      <c r="C1032" s="25">
        <f>MONTH(B1032)</f>
        <v/>
      </c>
      <c r="D1032" s="25" t="inlineStr">
        <is>
          <t>East</t>
        </is>
      </c>
      <c r="E1032" s="25" t="inlineStr">
        <is>
          <t>Technology</t>
        </is>
      </c>
      <c r="F1032" s="25" t="inlineStr">
        <is>
          <t>Wireless Mouse</t>
        </is>
      </c>
      <c r="G1032" s="25" t="n">
        <v>1</v>
      </c>
      <c r="H1032" s="27" t="n">
        <v>1200</v>
      </c>
      <c r="I1032" s="28" t="n">
        <v>0</v>
      </c>
      <c r="J1032" s="27" t="n">
        <v>650</v>
      </c>
      <c r="K1032" s="27">
        <f>G1032*H1032*(1-I1032)</f>
        <v/>
      </c>
      <c r="L1032" s="27">
        <f>K1032-G1032*J1032</f>
        <v/>
      </c>
    </row>
    <row r="1033">
      <c r="A1033" s="25" t="inlineStr">
        <is>
          <t>ORD-10461</t>
        </is>
      </c>
      <c r="B1033" s="26" t="n">
        <v>45987</v>
      </c>
      <c r="C1033" s="25">
        <f>MONTH(B1033)</f>
        <v/>
      </c>
      <c r="D1033" s="25" t="inlineStr">
        <is>
          <t>West</t>
        </is>
      </c>
      <c r="E1033" s="25" t="inlineStr">
        <is>
          <t>Office Supplies</t>
        </is>
      </c>
      <c r="F1033" s="25" t="inlineStr">
        <is>
          <t>Notebook Set</t>
        </is>
      </c>
      <c r="G1033" s="25" t="n">
        <v>3</v>
      </c>
      <c r="H1033" s="27" t="n">
        <v>450</v>
      </c>
      <c r="I1033" s="28" t="n">
        <v>0</v>
      </c>
      <c r="J1033" s="27" t="n">
        <v>190</v>
      </c>
      <c r="K1033" s="27">
        <f>G1033*H1033*(1-I1033)</f>
        <v/>
      </c>
      <c r="L1033" s="27">
        <f>K1033-G1033*J1033</f>
        <v/>
      </c>
    </row>
    <row r="1034">
      <c r="A1034" s="25" t="inlineStr">
        <is>
          <t>ORD-10621</t>
        </is>
      </c>
      <c r="B1034" s="26" t="n">
        <v>45987</v>
      </c>
      <c r="C1034" s="25">
        <f>MONTH(B1034)</f>
        <v/>
      </c>
      <c r="D1034" s="25" t="inlineStr">
        <is>
          <t>North</t>
        </is>
      </c>
      <c r="E1034" s="25" t="inlineStr">
        <is>
          <t>Accessories</t>
        </is>
      </c>
      <c r="F1034" s="25" t="inlineStr">
        <is>
          <t>USB-C Hub</t>
        </is>
      </c>
      <c r="G1034" s="25" t="n">
        <v>3</v>
      </c>
      <c r="H1034" s="27" t="n">
        <v>1800</v>
      </c>
      <c r="I1034" s="28" t="n">
        <v>0</v>
      </c>
      <c r="J1034" s="27" t="n">
        <v>980</v>
      </c>
      <c r="K1034" s="27">
        <f>G1034*H1034*(1-I1034)</f>
        <v/>
      </c>
      <c r="L1034" s="27">
        <f>K1034-G1034*J1034</f>
        <v/>
      </c>
    </row>
    <row r="1035">
      <c r="A1035" s="25" t="inlineStr">
        <is>
          <t>ORD-10662</t>
        </is>
      </c>
      <c r="B1035" s="26" t="n">
        <v>45987</v>
      </c>
      <c r="C1035" s="25">
        <f>MONTH(B1035)</f>
        <v/>
      </c>
      <c r="D1035" s="25" t="inlineStr">
        <is>
          <t>North</t>
        </is>
      </c>
      <c r="E1035" s="25" t="inlineStr">
        <is>
          <t>Technology</t>
        </is>
      </c>
      <c r="F1035" s="25" t="inlineStr">
        <is>
          <t>Wireless Mouse</t>
        </is>
      </c>
      <c r="G1035" s="25" t="n">
        <v>3</v>
      </c>
      <c r="H1035" s="27" t="n">
        <v>1200</v>
      </c>
      <c r="I1035" s="28" t="n">
        <v>0.15</v>
      </c>
      <c r="J1035" s="27" t="n">
        <v>650</v>
      </c>
      <c r="K1035" s="27">
        <f>G1035*H1035*(1-I1035)</f>
        <v/>
      </c>
      <c r="L1035" s="27">
        <f>K1035-G1035*J1035</f>
        <v/>
      </c>
    </row>
    <row r="1036">
      <c r="A1036" s="25" t="inlineStr">
        <is>
          <t>ORD-11036</t>
        </is>
      </c>
      <c r="B1036" s="26" t="n">
        <v>45987</v>
      </c>
      <c r="C1036" s="25">
        <f>MONTH(B1036)</f>
        <v/>
      </c>
      <c r="D1036" s="25" t="inlineStr">
        <is>
          <t>East</t>
        </is>
      </c>
      <c r="E1036" s="25" t="inlineStr">
        <is>
          <t>Office Supplies</t>
        </is>
      </c>
      <c r="F1036" s="25" t="inlineStr">
        <is>
          <t>Notebook Set</t>
        </is>
      </c>
      <c r="G1036" s="25" t="n">
        <v>5</v>
      </c>
      <c r="H1036" s="27" t="n">
        <v>450</v>
      </c>
      <c r="I1036" s="28" t="n">
        <v>0</v>
      </c>
      <c r="J1036" s="27" t="n">
        <v>190</v>
      </c>
      <c r="K1036" s="27">
        <f>G1036*H1036*(1-I1036)</f>
        <v/>
      </c>
      <c r="L1036" s="27">
        <f>K1036-G1036*J1036</f>
        <v/>
      </c>
    </row>
    <row r="1037">
      <c r="A1037" s="25" t="inlineStr">
        <is>
          <t>ORD-10039</t>
        </is>
      </c>
      <c r="B1037" s="26" t="n">
        <v>45988</v>
      </c>
      <c r="C1037" s="25">
        <f>MONTH(B1037)</f>
        <v/>
      </c>
      <c r="D1037" s="25" t="inlineStr">
        <is>
          <t>North</t>
        </is>
      </c>
      <c r="E1037" s="25" t="inlineStr">
        <is>
          <t>Furniture</t>
        </is>
      </c>
      <c r="F1037" s="25" t="inlineStr">
        <is>
          <t>Standing Desk</t>
        </is>
      </c>
      <c r="G1037" s="25" t="n">
        <v>2</v>
      </c>
      <c r="H1037" s="27" t="n">
        <v>19500</v>
      </c>
      <c r="I1037" s="28" t="n">
        <v>0</v>
      </c>
      <c r="J1037" s="27" t="n">
        <v>13800</v>
      </c>
      <c r="K1037" s="27">
        <f>G1037*H1037*(1-I1037)</f>
        <v/>
      </c>
      <c r="L1037" s="27">
        <f>K1037-G1037*J1037</f>
        <v/>
      </c>
    </row>
    <row r="1038">
      <c r="A1038" s="25" t="inlineStr">
        <is>
          <t>ORD-10041</t>
        </is>
      </c>
      <c r="B1038" s="26" t="n">
        <v>45988</v>
      </c>
      <c r="C1038" s="25">
        <f>MONTH(B1038)</f>
        <v/>
      </c>
      <c r="D1038" s="25" t="inlineStr">
        <is>
          <t>North</t>
        </is>
      </c>
      <c r="E1038" s="25" t="inlineStr">
        <is>
          <t>Office Supplies</t>
        </is>
      </c>
      <c r="F1038" s="25" t="inlineStr">
        <is>
          <t>Printer Paper Box</t>
        </is>
      </c>
      <c r="G1038" s="25" t="n">
        <v>1</v>
      </c>
      <c r="H1038" s="27" t="n">
        <v>1600</v>
      </c>
      <c r="I1038" s="28" t="n">
        <v>0</v>
      </c>
      <c r="J1038" s="27" t="n">
        <v>1050</v>
      </c>
      <c r="K1038" s="27">
        <f>G1038*H1038*(1-I1038)</f>
        <v/>
      </c>
      <c r="L1038" s="27">
        <f>K1038-G1038*J1038</f>
        <v/>
      </c>
    </row>
    <row r="1039">
      <c r="A1039" s="25" t="inlineStr">
        <is>
          <t>ORD-10149</t>
        </is>
      </c>
      <c r="B1039" s="26" t="n">
        <v>45988</v>
      </c>
      <c r="C1039" s="25">
        <f>MONTH(B1039)</f>
        <v/>
      </c>
      <c r="D1039" s="25" t="inlineStr">
        <is>
          <t>West</t>
        </is>
      </c>
      <c r="E1039" s="25" t="inlineStr">
        <is>
          <t>Technology</t>
        </is>
      </c>
      <c r="F1039" s="25" t="inlineStr">
        <is>
          <t>Wireless Mouse</t>
        </is>
      </c>
      <c r="G1039" s="25" t="n">
        <v>4</v>
      </c>
      <c r="H1039" s="27" t="n">
        <v>1200</v>
      </c>
      <c r="I1039" s="28" t="n">
        <v>0.05</v>
      </c>
      <c r="J1039" s="27" t="n">
        <v>650</v>
      </c>
      <c r="K1039" s="27">
        <f>G1039*H1039*(1-I1039)</f>
        <v/>
      </c>
      <c r="L1039" s="27">
        <f>K1039-G1039*J1039</f>
        <v/>
      </c>
    </row>
    <row r="1040">
      <c r="A1040" s="25" t="inlineStr">
        <is>
          <t>ORD-10169</t>
        </is>
      </c>
      <c r="B1040" s="26" t="n">
        <v>45988</v>
      </c>
      <c r="C1040" s="25">
        <f>MONTH(B1040)</f>
        <v/>
      </c>
      <c r="D1040" s="25" t="inlineStr">
        <is>
          <t>West</t>
        </is>
      </c>
      <c r="E1040" s="25" t="inlineStr">
        <is>
          <t>Office Supplies</t>
        </is>
      </c>
      <c r="F1040" s="25" t="inlineStr">
        <is>
          <t>Desk Organizer</t>
        </is>
      </c>
      <c r="G1040" s="25" t="n">
        <v>1</v>
      </c>
      <c r="H1040" s="27" t="n">
        <v>850</v>
      </c>
      <c r="I1040" s="28" t="n">
        <v>0.05</v>
      </c>
      <c r="J1040" s="27" t="n">
        <v>420</v>
      </c>
      <c r="K1040" s="27">
        <f>G1040*H1040*(1-I1040)</f>
        <v/>
      </c>
      <c r="L1040" s="27">
        <f>K1040-G1040*J1040</f>
        <v/>
      </c>
    </row>
    <row r="1041">
      <c r="A1041" s="25" t="inlineStr">
        <is>
          <t>ORD-10574</t>
        </is>
      </c>
      <c r="B1041" s="26" t="n">
        <v>45988</v>
      </c>
      <c r="C1041" s="25">
        <f>MONTH(B1041)</f>
        <v/>
      </c>
      <c r="D1041" s="25" t="inlineStr">
        <is>
          <t>East</t>
        </is>
      </c>
      <c r="E1041" s="25" t="inlineStr">
        <is>
          <t>Office Supplies</t>
        </is>
      </c>
      <c r="F1041" s="25" t="inlineStr">
        <is>
          <t>Printer Paper Box</t>
        </is>
      </c>
      <c r="G1041" s="25" t="n">
        <v>1</v>
      </c>
      <c r="H1041" s="27" t="n">
        <v>1600</v>
      </c>
      <c r="I1041" s="28" t="n">
        <v>0</v>
      </c>
      <c r="J1041" s="27" t="n">
        <v>1050</v>
      </c>
      <c r="K1041" s="27">
        <f>G1041*H1041*(1-I1041)</f>
        <v/>
      </c>
      <c r="L1041" s="27">
        <f>K1041-G1041*J1041</f>
        <v/>
      </c>
    </row>
    <row r="1042">
      <c r="A1042" s="25" t="inlineStr">
        <is>
          <t>ORD-10356</t>
        </is>
      </c>
      <c r="B1042" s="26" t="n">
        <v>45989</v>
      </c>
      <c r="C1042" s="25">
        <f>MONTH(B1042)</f>
        <v/>
      </c>
      <c r="D1042" s="25" t="inlineStr">
        <is>
          <t>South</t>
        </is>
      </c>
      <c r="E1042" s="25" t="inlineStr">
        <is>
          <t>Office Supplies</t>
        </is>
      </c>
      <c r="F1042" s="25" t="inlineStr">
        <is>
          <t>Printer Paper Box</t>
        </is>
      </c>
      <c r="G1042" s="25" t="n">
        <v>1</v>
      </c>
      <c r="H1042" s="27" t="n">
        <v>1600</v>
      </c>
      <c r="I1042" s="28" t="n">
        <v>0</v>
      </c>
      <c r="J1042" s="27" t="n">
        <v>1050</v>
      </c>
      <c r="K1042" s="27">
        <f>G1042*H1042*(1-I1042)</f>
        <v/>
      </c>
      <c r="L1042" s="27">
        <f>K1042-G1042*J1042</f>
        <v/>
      </c>
    </row>
    <row r="1043">
      <c r="A1043" s="25" t="inlineStr">
        <is>
          <t>ORD-10496</t>
        </is>
      </c>
      <c r="B1043" s="26" t="n">
        <v>45989</v>
      </c>
      <c r="C1043" s="25">
        <f>MONTH(B1043)</f>
        <v/>
      </c>
      <c r="D1043" s="25" t="inlineStr">
        <is>
          <t>North</t>
        </is>
      </c>
      <c r="E1043" s="25" t="inlineStr">
        <is>
          <t>Office Supplies</t>
        </is>
      </c>
      <c r="F1043" s="25" t="inlineStr">
        <is>
          <t>Desk Organizer</t>
        </is>
      </c>
      <c r="G1043" s="25" t="n">
        <v>1</v>
      </c>
      <c r="H1043" s="27" t="n">
        <v>850</v>
      </c>
      <c r="I1043" s="28" t="n">
        <v>0.15</v>
      </c>
      <c r="J1043" s="27" t="n">
        <v>420</v>
      </c>
      <c r="K1043" s="27">
        <f>G1043*H1043*(1-I1043)</f>
        <v/>
      </c>
      <c r="L1043" s="27">
        <f>K1043-G1043*J1043</f>
        <v/>
      </c>
    </row>
    <row r="1044">
      <c r="A1044" s="25" t="inlineStr">
        <is>
          <t>ORD-10930</t>
        </is>
      </c>
      <c r="B1044" s="26" t="n">
        <v>45989</v>
      </c>
      <c r="C1044" s="25">
        <f>MONTH(B1044)</f>
        <v/>
      </c>
      <c r="D1044" s="25" t="inlineStr">
        <is>
          <t>South</t>
        </is>
      </c>
      <c r="E1044" s="25" t="inlineStr">
        <is>
          <t>Office Supplies</t>
        </is>
      </c>
      <c r="F1044" s="25" t="inlineStr">
        <is>
          <t>Desk Organizer</t>
        </is>
      </c>
      <c r="G1044" s="25" t="n">
        <v>3</v>
      </c>
      <c r="H1044" s="27" t="n">
        <v>850</v>
      </c>
      <c r="I1044" s="28" t="n">
        <v>0</v>
      </c>
      <c r="J1044" s="27" t="n">
        <v>420</v>
      </c>
      <c r="K1044" s="27">
        <f>G1044*H1044*(1-I1044)</f>
        <v/>
      </c>
      <c r="L1044" s="27">
        <f>K1044-G1044*J1044</f>
        <v/>
      </c>
    </row>
    <row r="1045">
      <c r="A1045" s="25" t="inlineStr">
        <is>
          <t>ORD-11028</t>
        </is>
      </c>
      <c r="B1045" s="26" t="n">
        <v>45989</v>
      </c>
      <c r="C1045" s="25">
        <f>MONTH(B1045)</f>
        <v/>
      </c>
      <c r="D1045" s="25" t="inlineStr">
        <is>
          <t>West</t>
        </is>
      </c>
      <c r="E1045" s="25" t="inlineStr">
        <is>
          <t>Office Supplies</t>
        </is>
      </c>
      <c r="F1045" s="25" t="inlineStr">
        <is>
          <t>Desk Organizer</t>
        </is>
      </c>
      <c r="G1045" s="25" t="n">
        <v>2</v>
      </c>
      <c r="H1045" s="27" t="n">
        <v>850</v>
      </c>
      <c r="I1045" s="28" t="n">
        <v>0</v>
      </c>
      <c r="J1045" s="27" t="n">
        <v>420</v>
      </c>
      <c r="K1045" s="27">
        <f>G1045*H1045*(1-I1045)</f>
        <v/>
      </c>
      <c r="L1045" s="27">
        <f>K1045-G1045*J1045</f>
        <v/>
      </c>
    </row>
    <row r="1046">
      <c r="A1046" s="25" t="inlineStr">
        <is>
          <t>ORD-11151</t>
        </is>
      </c>
      <c r="B1046" s="26" t="n">
        <v>45989</v>
      </c>
      <c r="C1046" s="25">
        <f>MONTH(B1046)</f>
        <v/>
      </c>
      <c r="D1046" s="25" t="inlineStr">
        <is>
          <t>West</t>
        </is>
      </c>
      <c r="E1046" s="25" t="inlineStr">
        <is>
          <t>Office Supplies</t>
        </is>
      </c>
      <c r="F1046" s="25" t="inlineStr">
        <is>
          <t>Printer Paper Box</t>
        </is>
      </c>
      <c r="G1046" s="25" t="n">
        <v>3</v>
      </c>
      <c r="H1046" s="27" t="n">
        <v>1600</v>
      </c>
      <c r="I1046" s="28" t="n">
        <v>0.2</v>
      </c>
      <c r="J1046" s="27" t="n">
        <v>1050</v>
      </c>
      <c r="K1046" s="27">
        <f>G1046*H1046*(1-I1046)</f>
        <v/>
      </c>
      <c r="L1046" s="27">
        <f>K1046-G1046*J1046</f>
        <v/>
      </c>
    </row>
    <row r="1047">
      <c r="A1047" s="25" t="inlineStr">
        <is>
          <t>ORD-10462</t>
        </is>
      </c>
      <c r="B1047" s="26" t="n">
        <v>45992</v>
      </c>
      <c r="C1047" s="25">
        <f>MONTH(B1047)</f>
        <v/>
      </c>
      <c r="D1047" s="25" t="inlineStr">
        <is>
          <t>South</t>
        </is>
      </c>
      <c r="E1047" s="25" t="inlineStr">
        <is>
          <t>Accessories</t>
        </is>
      </c>
      <c r="F1047" s="25" t="inlineStr">
        <is>
          <t>USB-C Hub</t>
        </is>
      </c>
      <c r="G1047" s="25" t="n">
        <v>3</v>
      </c>
      <c r="H1047" s="27" t="n">
        <v>1800</v>
      </c>
      <c r="I1047" s="28" t="n">
        <v>0.1</v>
      </c>
      <c r="J1047" s="27" t="n">
        <v>980</v>
      </c>
      <c r="K1047" s="27">
        <f>G1047*H1047*(1-I1047)</f>
        <v/>
      </c>
      <c r="L1047" s="27">
        <f>K1047-G1047*J1047</f>
        <v/>
      </c>
    </row>
    <row r="1048">
      <c r="A1048" s="25" t="inlineStr">
        <is>
          <t>ORD-11002</t>
        </is>
      </c>
      <c r="B1048" s="26" t="n">
        <v>45992</v>
      </c>
      <c r="C1048" s="25">
        <f>MONTH(B1048)</f>
        <v/>
      </c>
      <c r="D1048" s="25" t="inlineStr">
        <is>
          <t>West</t>
        </is>
      </c>
      <c r="E1048" s="25" t="inlineStr">
        <is>
          <t>Technology</t>
        </is>
      </c>
      <c r="F1048" s="25" t="inlineStr">
        <is>
          <t>Wireless Mouse</t>
        </is>
      </c>
      <c r="G1048" s="25" t="n">
        <v>1</v>
      </c>
      <c r="H1048" s="27" t="n">
        <v>1200</v>
      </c>
      <c r="I1048" s="28" t="n">
        <v>0</v>
      </c>
      <c r="J1048" s="27" t="n">
        <v>650</v>
      </c>
      <c r="K1048" s="27">
        <f>G1048*H1048*(1-I1048)</f>
        <v/>
      </c>
      <c r="L1048" s="27">
        <f>K1048-G1048*J1048</f>
        <v/>
      </c>
    </row>
    <row r="1049">
      <c r="A1049" s="25" t="inlineStr">
        <is>
          <t>ORD-10090</t>
        </is>
      </c>
      <c r="B1049" s="26" t="n">
        <v>45993</v>
      </c>
      <c r="C1049" s="25">
        <f>MONTH(B1049)</f>
        <v/>
      </c>
      <c r="D1049" s="25" t="inlineStr">
        <is>
          <t>West</t>
        </is>
      </c>
      <c r="E1049" s="25" t="inlineStr">
        <is>
          <t>Furniture</t>
        </is>
      </c>
      <c r="F1049" s="25" t="inlineStr">
        <is>
          <t>Bookshelf</t>
        </is>
      </c>
      <c r="G1049" s="25" t="n">
        <v>2</v>
      </c>
      <c r="H1049" s="27" t="n">
        <v>6200</v>
      </c>
      <c r="I1049" s="28" t="n">
        <v>0.1</v>
      </c>
      <c r="J1049" s="27" t="n">
        <v>4100</v>
      </c>
      <c r="K1049" s="27">
        <f>G1049*H1049*(1-I1049)</f>
        <v/>
      </c>
      <c r="L1049" s="27">
        <f>K1049-G1049*J1049</f>
        <v/>
      </c>
    </row>
    <row r="1050">
      <c r="A1050" s="25" t="inlineStr">
        <is>
          <t>ORD-10255</t>
        </is>
      </c>
      <c r="B1050" s="26" t="n">
        <v>45993</v>
      </c>
      <c r="C1050" s="25">
        <f>MONTH(B1050)</f>
        <v/>
      </c>
      <c r="D1050" s="25" t="inlineStr">
        <is>
          <t>South</t>
        </is>
      </c>
      <c r="E1050" s="25" t="inlineStr">
        <is>
          <t>Office Supplies</t>
        </is>
      </c>
      <c r="F1050" s="25" t="inlineStr">
        <is>
          <t>Desk Organizer</t>
        </is>
      </c>
      <c r="G1050" s="25" t="n">
        <v>3</v>
      </c>
      <c r="H1050" s="27" t="n">
        <v>850</v>
      </c>
      <c r="I1050" s="28" t="n">
        <v>0.1</v>
      </c>
      <c r="J1050" s="27" t="n">
        <v>420</v>
      </c>
      <c r="K1050" s="27">
        <f>G1050*H1050*(1-I1050)</f>
        <v/>
      </c>
      <c r="L1050" s="27">
        <f>K1050-G1050*J1050</f>
        <v/>
      </c>
    </row>
    <row r="1051">
      <c r="A1051" s="25" t="inlineStr">
        <is>
          <t>ORD-10615</t>
        </is>
      </c>
      <c r="B1051" s="26" t="n">
        <v>45993</v>
      </c>
      <c r="C1051" s="25">
        <f>MONTH(B1051)</f>
        <v/>
      </c>
      <c r="D1051" s="25" t="inlineStr">
        <is>
          <t>North</t>
        </is>
      </c>
      <c r="E1051" s="25" t="inlineStr">
        <is>
          <t>Office Supplies</t>
        </is>
      </c>
      <c r="F1051" s="25" t="inlineStr">
        <is>
          <t>Notebook Set</t>
        </is>
      </c>
      <c r="G1051" s="25" t="n">
        <v>4</v>
      </c>
      <c r="H1051" s="27" t="n">
        <v>450</v>
      </c>
      <c r="I1051" s="28" t="n">
        <v>0</v>
      </c>
      <c r="J1051" s="27" t="n">
        <v>190</v>
      </c>
      <c r="K1051" s="27">
        <f>G1051*H1051*(1-I1051)</f>
        <v/>
      </c>
      <c r="L1051" s="27">
        <f>K1051-G1051*J1051</f>
        <v/>
      </c>
    </row>
    <row r="1052">
      <c r="A1052" s="25" t="inlineStr">
        <is>
          <t>ORD-10806</t>
        </is>
      </c>
      <c r="B1052" s="26" t="n">
        <v>45993</v>
      </c>
      <c r="C1052" s="25">
        <f>MONTH(B1052)</f>
        <v/>
      </c>
      <c r="D1052" s="25" t="inlineStr">
        <is>
          <t>West</t>
        </is>
      </c>
      <c r="E1052" s="25" t="inlineStr">
        <is>
          <t>Office Supplies</t>
        </is>
      </c>
      <c r="F1052" s="25" t="inlineStr">
        <is>
          <t>Printer Paper Box</t>
        </is>
      </c>
      <c r="G1052" s="25" t="n">
        <v>2</v>
      </c>
      <c r="H1052" s="27" t="n">
        <v>1600</v>
      </c>
      <c r="I1052" s="28" t="n">
        <v>0</v>
      </c>
      <c r="J1052" s="27" t="n">
        <v>1050</v>
      </c>
      <c r="K1052" s="27">
        <f>G1052*H1052*(1-I1052)</f>
        <v/>
      </c>
      <c r="L1052" s="27">
        <f>K1052-G1052*J1052</f>
        <v/>
      </c>
    </row>
    <row r="1053">
      <c r="A1053" s="25" t="inlineStr">
        <is>
          <t>ORD-10957</t>
        </is>
      </c>
      <c r="B1053" s="26" t="n">
        <v>45993</v>
      </c>
      <c r="C1053" s="25">
        <f>MONTH(B1053)</f>
        <v/>
      </c>
      <c r="D1053" s="25" t="inlineStr">
        <is>
          <t>West</t>
        </is>
      </c>
      <c r="E1053" s="25" t="inlineStr">
        <is>
          <t>Technology</t>
        </is>
      </c>
      <c r="F1053" s="25" t="inlineStr">
        <is>
          <t>Monitor 24"</t>
        </is>
      </c>
      <c r="G1053" s="25" t="n">
        <v>1</v>
      </c>
      <c r="H1053" s="27" t="n">
        <v>11500</v>
      </c>
      <c r="I1053" s="28" t="n">
        <v>0.1</v>
      </c>
      <c r="J1053" s="27" t="n">
        <v>8200</v>
      </c>
      <c r="K1053" s="27">
        <f>G1053*H1053*(1-I1053)</f>
        <v/>
      </c>
      <c r="L1053" s="27">
        <f>K1053-G1053*J1053</f>
        <v/>
      </c>
    </row>
    <row r="1054">
      <c r="A1054" s="25" t="inlineStr">
        <is>
          <t>ORD-10133</t>
        </is>
      </c>
      <c r="B1054" s="26" t="n">
        <v>45994</v>
      </c>
      <c r="C1054" s="25">
        <f>MONTH(B1054)</f>
        <v/>
      </c>
      <c r="D1054" s="25" t="inlineStr">
        <is>
          <t>South</t>
        </is>
      </c>
      <c r="E1054" s="25" t="inlineStr">
        <is>
          <t>Office Supplies</t>
        </is>
      </c>
      <c r="F1054" s="25" t="inlineStr">
        <is>
          <t>Desk Organizer</t>
        </is>
      </c>
      <c r="G1054" s="25" t="n">
        <v>3</v>
      </c>
      <c r="H1054" s="27" t="n">
        <v>850</v>
      </c>
      <c r="I1054" s="28" t="n">
        <v>0</v>
      </c>
      <c r="J1054" s="27" t="n">
        <v>420</v>
      </c>
      <c r="K1054" s="27">
        <f>G1054*H1054*(1-I1054)</f>
        <v/>
      </c>
      <c r="L1054" s="27">
        <f>K1054-G1054*J1054</f>
        <v/>
      </c>
    </row>
    <row r="1055">
      <c r="A1055" s="25" t="inlineStr">
        <is>
          <t>ORD-10500</t>
        </is>
      </c>
      <c r="B1055" s="26" t="n">
        <v>45994</v>
      </c>
      <c r="C1055" s="25">
        <f>MONTH(B1055)</f>
        <v/>
      </c>
      <c r="D1055" s="25" t="inlineStr">
        <is>
          <t>West</t>
        </is>
      </c>
      <c r="E1055" s="25" t="inlineStr">
        <is>
          <t>Office Supplies</t>
        </is>
      </c>
      <c r="F1055" s="25" t="inlineStr">
        <is>
          <t>Notebook Set</t>
        </is>
      </c>
      <c r="G1055" s="25" t="n">
        <v>7</v>
      </c>
      <c r="H1055" s="27" t="n">
        <v>450</v>
      </c>
      <c r="I1055" s="28" t="n">
        <v>0.2</v>
      </c>
      <c r="J1055" s="27" t="n">
        <v>190</v>
      </c>
      <c r="K1055" s="27">
        <f>G1055*H1055*(1-I1055)</f>
        <v/>
      </c>
      <c r="L1055" s="27">
        <f>K1055-G1055*J1055</f>
        <v/>
      </c>
    </row>
    <row r="1056">
      <c r="A1056" s="25" t="inlineStr">
        <is>
          <t>ORD-10668</t>
        </is>
      </c>
      <c r="B1056" s="26" t="n">
        <v>45994</v>
      </c>
      <c r="C1056" s="25">
        <f>MONTH(B1056)</f>
        <v/>
      </c>
      <c r="D1056" s="25" t="inlineStr">
        <is>
          <t>West</t>
        </is>
      </c>
      <c r="E1056" s="25" t="inlineStr">
        <is>
          <t>Office Supplies</t>
        </is>
      </c>
      <c r="F1056" s="25" t="inlineStr">
        <is>
          <t>Printer Paper Box</t>
        </is>
      </c>
      <c r="G1056" s="25" t="n">
        <v>3</v>
      </c>
      <c r="H1056" s="27" t="n">
        <v>1600</v>
      </c>
      <c r="I1056" s="28" t="n">
        <v>0.05</v>
      </c>
      <c r="J1056" s="27" t="n">
        <v>1050</v>
      </c>
      <c r="K1056" s="27">
        <f>G1056*H1056*(1-I1056)</f>
        <v/>
      </c>
      <c r="L1056" s="27">
        <f>K1056-G1056*J1056</f>
        <v/>
      </c>
    </row>
    <row r="1057">
      <c r="A1057" s="25" t="inlineStr">
        <is>
          <t>ORD-10692</t>
        </is>
      </c>
      <c r="B1057" s="26" t="n">
        <v>45994</v>
      </c>
      <c r="C1057" s="25">
        <f>MONTH(B1057)</f>
        <v/>
      </c>
      <c r="D1057" s="25" t="inlineStr">
        <is>
          <t>South</t>
        </is>
      </c>
      <c r="E1057" s="25" t="inlineStr">
        <is>
          <t>Technology</t>
        </is>
      </c>
      <c r="F1057" s="25" t="inlineStr">
        <is>
          <t>Mechanical Keyboard</t>
        </is>
      </c>
      <c r="G1057" s="25" t="n">
        <v>1</v>
      </c>
      <c r="H1057" s="27" t="n">
        <v>4200</v>
      </c>
      <c r="I1057" s="28" t="n">
        <v>0</v>
      </c>
      <c r="J1057" s="27" t="n">
        <v>2500</v>
      </c>
      <c r="K1057" s="27">
        <f>G1057*H1057*(1-I1057)</f>
        <v/>
      </c>
      <c r="L1057" s="27">
        <f>K1057-G1057*J1057</f>
        <v/>
      </c>
    </row>
    <row r="1058">
      <c r="A1058" s="25" t="inlineStr">
        <is>
          <t>ORD-10721</t>
        </is>
      </c>
      <c r="B1058" s="26" t="n">
        <v>45994</v>
      </c>
      <c r="C1058" s="25">
        <f>MONTH(B1058)</f>
        <v/>
      </c>
      <c r="D1058" s="25" t="inlineStr">
        <is>
          <t>West</t>
        </is>
      </c>
      <c r="E1058" s="25" t="inlineStr">
        <is>
          <t>Furniture</t>
        </is>
      </c>
      <c r="F1058" s="25" t="inlineStr">
        <is>
          <t>Bookshelf</t>
        </is>
      </c>
      <c r="G1058" s="25" t="n">
        <v>3</v>
      </c>
      <c r="H1058" s="27" t="n">
        <v>6200</v>
      </c>
      <c r="I1058" s="28" t="n">
        <v>0</v>
      </c>
      <c r="J1058" s="27" t="n">
        <v>4100</v>
      </c>
      <c r="K1058" s="27">
        <f>G1058*H1058*(1-I1058)</f>
        <v/>
      </c>
      <c r="L1058" s="27">
        <f>K1058-G1058*J1058</f>
        <v/>
      </c>
    </row>
    <row r="1059">
      <c r="A1059" s="25" t="inlineStr">
        <is>
          <t>ORD-10878</t>
        </is>
      </c>
      <c r="B1059" s="26" t="n">
        <v>45994</v>
      </c>
      <c r="C1059" s="25">
        <f>MONTH(B1059)</f>
        <v/>
      </c>
      <c r="D1059" s="25" t="inlineStr">
        <is>
          <t>West</t>
        </is>
      </c>
      <c r="E1059" s="25" t="inlineStr">
        <is>
          <t>Accessories</t>
        </is>
      </c>
      <c r="F1059" s="25" t="inlineStr">
        <is>
          <t>USB-C Hub</t>
        </is>
      </c>
      <c r="G1059" s="25" t="n">
        <v>2</v>
      </c>
      <c r="H1059" s="27" t="n">
        <v>1800</v>
      </c>
      <c r="I1059" s="28" t="n">
        <v>0.1</v>
      </c>
      <c r="J1059" s="27" t="n">
        <v>980</v>
      </c>
      <c r="K1059" s="27">
        <f>G1059*H1059*(1-I1059)</f>
        <v/>
      </c>
      <c r="L1059" s="27">
        <f>K1059-G1059*J1059</f>
        <v/>
      </c>
    </row>
    <row r="1060">
      <c r="A1060" s="25" t="inlineStr">
        <is>
          <t>ORD-11012</t>
        </is>
      </c>
      <c r="B1060" s="26" t="n">
        <v>45994</v>
      </c>
      <c r="C1060" s="25">
        <f>MONTH(B1060)</f>
        <v/>
      </c>
      <c r="D1060" s="25" t="inlineStr">
        <is>
          <t>North</t>
        </is>
      </c>
      <c r="E1060" s="25" t="inlineStr">
        <is>
          <t>Furniture</t>
        </is>
      </c>
      <c r="F1060" s="25" t="inlineStr">
        <is>
          <t>Office Chair</t>
        </is>
      </c>
      <c r="G1060" s="25" t="n">
        <v>2</v>
      </c>
      <c r="H1060" s="27" t="n">
        <v>8500</v>
      </c>
      <c r="I1060" s="28" t="n">
        <v>0.1</v>
      </c>
      <c r="J1060" s="27" t="n">
        <v>5600</v>
      </c>
      <c r="K1060" s="27">
        <f>G1060*H1060*(1-I1060)</f>
        <v/>
      </c>
      <c r="L1060" s="27">
        <f>K1060-G1060*J1060</f>
        <v/>
      </c>
    </row>
    <row r="1061">
      <c r="A1061" s="25" t="inlineStr">
        <is>
          <t>ORD-11179</t>
        </is>
      </c>
      <c r="B1061" s="26" t="n">
        <v>45994</v>
      </c>
      <c r="C1061" s="25">
        <f>MONTH(B1061)</f>
        <v/>
      </c>
      <c r="D1061" s="25" t="inlineStr">
        <is>
          <t>South</t>
        </is>
      </c>
      <c r="E1061" s="25" t="inlineStr">
        <is>
          <t>Furniture</t>
        </is>
      </c>
      <c r="F1061" s="25" t="inlineStr">
        <is>
          <t>Standing Desk</t>
        </is>
      </c>
      <c r="G1061" s="25" t="n">
        <v>2</v>
      </c>
      <c r="H1061" s="27" t="n">
        <v>19500</v>
      </c>
      <c r="I1061" s="28" t="n">
        <v>0.15</v>
      </c>
      <c r="J1061" s="27" t="n">
        <v>13800</v>
      </c>
      <c r="K1061" s="27">
        <f>G1061*H1061*(1-I1061)</f>
        <v/>
      </c>
      <c r="L1061" s="27">
        <f>K1061-G1061*J1061</f>
        <v/>
      </c>
    </row>
    <row r="1062">
      <c r="A1062" s="25" t="inlineStr">
        <is>
          <t>ORD-10196</t>
        </is>
      </c>
      <c r="B1062" s="26" t="n">
        <v>45995</v>
      </c>
      <c r="C1062" s="25">
        <f>MONTH(B1062)</f>
        <v/>
      </c>
      <c r="D1062" s="25" t="inlineStr">
        <is>
          <t>West</t>
        </is>
      </c>
      <c r="E1062" s="25" t="inlineStr">
        <is>
          <t>Office Supplies</t>
        </is>
      </c>
      <c r="F1062" s="25" t="inlineStr">
        <is>
          <t>Notebook Set</t>
        </is>
      </c>
      <c r="G1062" s="25" t="n">
        <v>7</v>
      </c>
      <c r="H1062" s="27" t="n">
        <v>450</v>
      </c>
      <c r="I1062" s="28" t="n">
        <v>0</v>
      </c>
      <c r="J1062" s="27" t="n">
        <v>190</v>
      </c>
      <c r="K1062" s="27">
        <f>G1062*H1062*(1-I1062)</f>
        <v/>
      </c>
      <c r="L1062" s="27">
        <f>K1062-G1062*J1062</f>
        <v/>
      </c>
    </row>
    <row r="1063">
      <c r="A1063" s="25" t="inlineStr">
        <is>
          <t>ORD-11040</t>
        </is>
      </c>
      <c r="B1063" s="26" t="n">
        <v>45995</v>
      </c>
      <c r="C1063" s="25">
        <f>MONTH(B1063)</f>
        <v/>
      </c>
      <c r="D1063" s="25" t="inlineStr">
        <is>
          <t>North</t>
        </is>
      </c>
      <c r="E1063" s="25" t="inlineStr">
        <is>
          <t>Accessories</t>
        </is>
      </c>
      <c r="F1063" s="25" t="inlineStr">
        <is>
          <t>USB-C Hub</t>
        </is>
      </c>
      <c r="G1063" s="25" t="n">
        <v>1</v>
      </c>
      <c r="H1063" s="27" t="n">
        <v>1800</v>
      </c>
      <c r="I1063" s="28" t="n">
        <v>0</v>
      </c>
      <c r="J1063" s="27" t="n">
        <v>980</v>
      </c>
      <c r="K1063" s="27">
        <f>G1063*H1063*(1-I1063)</f>
        <v/>
      </c>
      <c r="L1063" s="27">
        <f>K1063-G1063*J1063</f>
        <v/>
      </c>
    </row>
    <row r="1064">
      <c r="A1064" s="25" t="inlineStr">
        <is>
          <t>ORD-10027</t>
        </is>
      </c>
      <c r="B1064" s="26" t="n">
        <v>45996</v>
      </c>
      <c r="C1064" s="25">
        <f>MONTH(B1064)</f>
        <v/>
      </c>
      <c r="D1064" s="25" t="inlineStr">
        <is>
          <t>North</t>
        </is>
      </c>
      <c r="E1064" s="25" t="inlineStr">
        <is>
          <t>Accessories</t>
        </is>
      </c>
      <c r="F1064" s="25" t="inlineStr">
        <is>
          <t>Webcam</t>
        </is>
      </c>
      <c r="G1064" s="25" t="n">
        <v>3</v>
      </c>
      <c r="H1064" s="27" t="n">
        <v>3200</v>
      </c>
      <c r="I1064" s="28" t="n">
        <v>0.2</v>
      </c>
      <c r="J1064" s="27" t="n">
        <v>1900</v>
      </c>
      <c r="K1064" s="27">
        <f>G1064*H1064*(1-I1064)</f>
        <v/>
      </c>
      <c r="L1064" s="27">
        <f>K1064-G1064*J1064</f>
        <v/>
      </c>
    </row>
    <row r="1065">
      <c r="A1065" s="25" t="inlineStr">
        <is>
          <t>ORD-10233</t>
        </is>
      </c>
      <c r="B1065" s="26" t="n">
        <v>45996</v>
      </c>
      <c r="C1065" s="25">
        <f>MONTH(B1065)</f>
        <v/>
      </c>
      <c r="D1065" s="25" t="inlineStr">
        <is>
          <t>West</t>
        </is>
      </c>
      <c r="E1065" s="25" t="inlineStr">
        <is>
          <t>Technology</t>
        </is>
      </c>
      <c r="F1065" s="25" t="inlineStr">
        <is>
          <t>Monitor 24"</t>
        </is>
      </c>
      <c r="G1065" s="25" t="n">
        <v>2</v>
      </c>
      <c r="H1065" s="27" t="n">
        <v>11500</v>
      </c>
      <c r="I1065" s="28" t="n">
        <v>0</v>
      </c>
      <c r="J1065" s="27" t="n">
        <v>8200</v>
      </c>
      <c r="K1065" s="27">
        <f>G1065*H1065*(1-I1065)</f>
        <v/>
      </c>
      <c r="L1065" s="27">
        <f>K1065-G1065*J1065</f>
        <v/>
      </c>
    </row>
    <row r="1066">
      <c r="A1066" s="25" t="inlineStr">
        <is>
          <t>ORD-10733</t>
        </is>
      </c>
      <c r="B1066" s="26" t="n">
        <v>45996</v>
      </c>
      <c r="C1066" s="25">
        <f>MONTH(B1066)</f>
        <v/>
      </c>
      <c r="D1066" s="25" t="inlineStr">
        <is>
          <t>West</t>
        </is>
      </c>
      <c r="E1066" s="25" t="inlineStr">
        <is>
          <t>Furniture</t>
        </is>
      </c>
      <c r="F1066" s="25" t="inlineStr">
        <is>
          <t>Office Chair</t>
        </is>
      </c>
      <c r="G1066" s="25" t="n">
        <v>1</v>
      </c>
      <c r="H1066" s="27" t="n">
        <v>8500</v>
      </c>
      <c r="I1066" s="28" t="n">
        <v>0</v>
      </c>
      <c r="J1066" s="27" t="n">
        <v>5600</v>
      </c>
      <c r="K1066" s="27">
        <f>G1066*H1066*(1-I1066)</f>
        <v/>
      </c>
      <c r="L1066" s="27">
        <f>K1066-G1066*J1066</f>
        <v/>
      </c>
    </row>
    <row r="1067">
      <c r="A1067" s="25" t="inlineStr">
        <is>
          <t>ORD-11063</t>
        </is>
      </c>
      <c r="B1067" s="26" t="n">
        <v>45996</v>
      </c>
      <c r="C1067" s="25">
        <f>MONTH(B1067)</f>
        <v/>
      </c>
      <c r="D1067" s="25" t="inlineStr">
        <is>
          <t>North</t>
        </is>
      </c>
      <c r="E1067" s="25" t="inlineStr">
        <is>
          <t>Office Supplies</t>
        </is>
      </c>
      <c r="F1067" s="25" t="inlineStr">
        <is>
          <t>Desk Organizer</t>
        </is>
      </c>
      <c r="G1067" s="25" t="n">
        <v>1</v>
      </c>
      <c r="H1067" s="27" t="n">
        <v>850</v>
      </c>
      <c r="I1067" s="28" t="n">
        <v>0</v>
      </c>
      <c r="J1067" s="27" t="n">
        <v>420</v>
      </c>
      <c r="K1067" s="27">
        <f>G1067*H1067*(1-I1067)</f>
        <v/>
      </c>
      <c r="L1067" s="27">
        <f>K1067-G1067*J1067</f>
        <v/>
      </c>
    </row>
    <row r="1068">
      <c r="A1068" s="25" t="inlineStr">
        <is>
          <t>ORD-11065</t>
        </is>
      </c>
      <c r="B1068" s="26" t="n">
        <v>45996</v>
      </c>
      <c r="C1068" s="25">
        <f>MONTH(B1068)</f>
        <v/>
      </c>
      <c r="D1068" s="25" t="inlineStr">
        <is>
          <t>North</t>
        </is>
      </c>
      <c r="E1068" s="25" t="inlineStr">
        <is>
          <t>Office Supplies</t>
        </is>
      </c>
      <c r="F1068" s="25" t="inlineStr">
        <is>
          <t>Notebook Set</t>
        </is>
      </c>
      <c r="G1068" s="25" t="n">
        <v>1</v>
      </c>
      <c r="H1068" s="27" t="n">
        <v>450</v>
      </c>
      <c r="I1068" s="28" t="n">
        <v>0.05</v>
      </c>
      <c r="J1068" s="27" t="n">
        <v>190</v>
      </c>
      <c r="K1068" s="27">
        <f>G1068*H1068*(1-I1068)</f>
        <v/>
      </c>
      <c r="L1068" s="27">
        <f>K1068-G1068*J1068</f>
        <v/>
      </c>
    </row>
    <row r="1069">
      <c r="A1069" s="25" t="inlineStr">
        <is>
          <t>ORD-11173</t>
        </is>
      </c>
      <c r="B1069" s="26" t="n">
        <v>45996</v>
      </c>
      <c r="C1069" s="25">
        <f>MONTH(B1069)</f>
        <v/>
      </c>
      <c r="D1069" s="25" t="inlineStr">
        <is>
          <t>West</t>
        </is>
      </c>
      <c r="E1069" s="25" t="inlineStr">
        <is>
          <t>Office Supplies</t>
        </is>
      </c>
      <c r="F1069" s="25" t="inlineStr">
        <is>
          <t>Desk Organizer</t>
        </is>
      </c>
      <c r="G1069" s="25" t="n">
        <v>5</v>
      </c>
      <c r="H1069" s="27" t="n">
        <v>850</v>
      </c>
      <c r="I1069" s="28" t="n">
        <v>0</v>
      </c>
      <c r="J1069" s="27" t="n">
        <v>420</v>
      </c>
      <c r="K1069" s="27">
        <f>G1069*H1069*(1-I1069)</f>
        <v/>
      </c>
      <c r="L1069" s="27">
        <f>K1069-G1069*J1069</f>
        <v/>
      </c>
    </row>
    <row r="1070">
      <c r="A1070" s="25" t="inlineStr">
        <is>
          <t>ORD-10057</t>
        </is>
      </c>
      <c r="B1070" s="26" t="n">
        <v>45997</v>
      </c>
      <c r="C1070" s="25">
        <f>MONTH(B1070)</f>
        <v/>
      </c>
      <c r="D1070" s="25" t="inlineStr">
        <is>
          <t>South</t>
        </is>
      </c>
      <c r="E1070" s="25" t="inlineStr">
        <is>
          <t>Accessories</t>
        </is>
      </c>
      <c r="F1070" s="25" t="inlineStr">
        <is>
          <t>USB-C Hub</t>
        </is>
      </c>
      <c r="G1070" s="25" t="n">
        <v>3</v>
      </c>
      <c r="H1070" s="27" t="n">
        <v>1800</v>
      </c>
      <c r="I1070" s="28" t="n">
        <v>0.2</v>
      </c>
      <c r="J1070" s="27" t="n">
        <v>980</v>
      </c>
      <c r="K1070" s="27">
        <f>G1070*H1070*(1-I1070)</f>
        <v/>
      </c>
      <c r="L1070" s="27">
        <f>K1070-G1070*J1070</f>
        <v/>
      </c>
    </row>
    <row r="1071">
      <c r="A1071" s="25" t="inlineStr">
        <is>
          <t>ORD-10262</t>
        </is>
      </c>
      <c r="B1071" s="26" t="n">
        <v>45997</v>
      </c>
      <c r="C1071" s="25">
        <f>MONTH(B1071)</f>
        <v/>
      </c>
      <c r="D1071" s="25" t="inlineStr">
        <is>
          <t>West</t>
        </is>
      </c>
      <c r="E1071" s="25" t="inlineStr">
        <is>
          <t>Accessories</t>
        </is>
      </c>
      <c r="F1071" s="25" t="inlineStr">
        <is>
          <t>USB-C Hub</t>
        </is>
      </c>
      <c r="G1071" s="25" t="n">
        <v>1</v>
      </c>
      <c r="H1071" s="27" t="n">
        <v>1800</v>
      </c>
      <c r="I1071" s="28" t="n">
        <v>0.2</v>
      </c>
      <c r="J1071" s="27" t="n">
        <v>980</v>
      </c>
      <c r="K1071" s="27">
        <f>G1071*H1071*(1-I1071)</f>
        <v/>
      </c>
      <c r="L1071" s="27">
        <f>K1071-G1071*J1071</f>
        <v/>
      </c>
    </row>
    <row r="1072">
      <c r="A1072" s="25" t="inlineStr">
        <is>
          <t>ORD-10419</t>
        </is>
      </c>
      <c r="B1072" s="26" t="n">
        <v>45997</v>
      </c>
      <c r="C1072" s="25">
        <f>MONTH(B1072)</f>
        <v/>
      </c>
      <c r="D1072" s="25" t="inlineStr">
        <is>
          <t>North</t>
        </is>
      </c>
      <c r="E1072" s="25" t="inlineStr">
        <is>
          <t>Technology</t>
        </is>
      </c>
      <c r="F1072" s="25" t="inlineStr">
        <is>
          <t>Monitor 24"</t>
        </is>
      </c>
      <c r="G1072" s="25" t="n">
        <v>1</v>
      </c>
      <c r="H1072" s="27" t="n">
        <v>11500</v>
      </c>
      <c r="I1072" s="28" t="n">
        <v>0.1</v>
      </c>
      <c r="J1072" s="27" t="n">
        <v>8200</v>
      </c>
      <c r="K1072" s="27">
        <f>G1072*H1072*(1-I1072)</f>
        <v/>
      </c>
      <c r="L1072" s="27">
        <f>K1072-G1072*J1072</f>
        <v/>
      </c>
    </row>
    <row r="1073">
      <c r="A1073" s="25" t="inlineStr">
        <is>
          <t>ORD-10475</t>
        </is>
      </c>
      <c r="B1073" s="26" t="n">
        <v>45997</v>
      </c>
      <c r="C1073" s="25">
        <f>MONTH(B1073)</f>
        <v/>
      </c>
      <c r="D1073" s="25" t="inlineStr">
        <is>
          <t>North</t>
        </is>
      </c>
      <c r="E1073" s="25" t="inlineStr">
        <is>
          <t>Office Supplies</t>
        </is>
      </c>
      <c r="F1073" s="25" t="inlineStr">
        <is>
          <t>Printer Paper Box</t>
        </is>
      </c>
      <c r="G1073" s="25" t="n">
        <v>5</v>
      </c>
      <c r="H1073" s="27" t="n">
        <v>1600</v>
      </c>
      <c r="I1073" s="28" t="n">
        <v>0</v>
      </c>
      <c r="J1073" s="27" t="n">
        <v>1050</v>
      </c>
      <c r="K1073" s="27">
        <f>G1073*H1073*(1-I1073)</f>
        <v/>
      </c>
      <c r="L1073" s="27">
        <f>K1073-G1073*J1073</f>
        <v/>
      </c>
    </row>
    <row r="1074">
      <c r="A1074" s="25" t="inlineStr">
        <is>
          <t>ORD-10844</t>
        </is>
      </c>
      <c r="B1074" s="26" t="n">
        <v>45997</v>
      </c>
      <c r="C1074" s="25">
        <f>MONTH(B1074)</f>
        <v/>
      </c>
      <c r="D1074" s="25" t="inlineStr">
        <is>
          <t>South</t>
        </is>
      </c>
      <c r="E1074" s="25" t="inlineStr">
        <is>
          <t>Office Supplies</t>
        </is>
      </c>
      <c r="F1074" s="25" t="inlineStr">
        <is>
          <t>Notebook Set</t>
        </is>
      </c>
      <c r="G1074" s="25" t="n">
        <v>5</v>
      </c>
      <c r="H1074" s="27" t="n">
        <v>450</v>
      </c>
      <c r="I1074" s="28" t="n">
        <v>0.05</v>
      </c>
      <c r="J1074" s="27" t="n">
        <v>190</v>
      </c>
      <c r="K1074" s="27">
        <f>G1074*H1074*(1-I1074)</f>
        <v/>
      </c>
      <c r="L1074" s="27">
        <f>K1074-G1074*J1074</f>
        <v/>
      </c>
    </row>
    <row r="1075">
      <c r="A1075" s="25" t="inlineStr">
        <is>
          <t>ORD-10879</t>
        </is>
      </c>
      <c r="B1075" s="26" t="n">
        <v>45997</v>
      </c>
      <c r="C1075" s="25">
        <f>MONTH(B1075)</f>
        <v/>
      </c>
      <c r="D1075" s="25" t="inlineStr">
        <is>
          <t>South</t>
        </is>
      </c>
      <c r="E1075" s="25" t="inlineStr">
        <is>
          <t>Office Supplies</t>
        </is>
      </c>
      <c r="F1075" s="25" t="inlineStr">
        <is>
          <t>Notebook Set</t>
        </is>
      </c>
      <c r="G1075" s="25" t="n">
        <v>2</v>
      </c>
      <c r="H1075" s="27" t="n">
        <v>450</v>
      </c>
      <c r="I1075" s="28" t="n">
        <v>0.1</v>
      </c>
      <c r="J1075" s="27" t="n">
        <v>190</v>
      </c>
      <c r="K1075" s="27">
        <f>G1075*H1075*(1-I1075)</f>
        <v/>
      </c>
      <c r="L1075" s="27">
        <f>K1075-G1075*J1075</f>
        <v/>
      </c>
    </row>
    <row r="1076">
      <c r="A1076" s="25" t="inlineStr">
        <is>
          <t>ORD-11051</t>
        </is>
      </c>
      <c r="B1076" s="26" t="n">
        <v>45997</v>
      </c>
      <c r="C1076" s="25">
        <f>MONTH(B1076)</f>
        <v/>
      </c>
      <c r="D1076" s="25" t="inlineStr">
        <is>
          <t>South</t>
        </is>
      </c>
      <c r="E1076" s="25" t="inlineStr">
        <is>
          <t>Office Supplies</t>
        </is>
      </c>
      <c r="F1076" s="25" t="inlineStr">
        <is>
          <t>Notebook Set</t>
        </is>
      </c>
      <c r="G1076" s="25" t="n">
        <v>3</v>
      </c>
      <c r="H1076" s="27" t="n">
        <v>450</v>
      </c>
      <c r="I1076" s="28" t="n">
        <v>0</v>
      </c>
      <c r="J1076" s="27" t="n">
        <v>190</v>
      </c>
      <c r="K1076" s="27">
        <f>G1076*H1076*(1-I1076)</f>
        <v/>
      </c>
      <c r="L1076" s="27">
        <f>K1076-G1076*J1076</f>
        <v/>
      </c>
    </row>
    <row r="1077">
      <c r="A1077" s="25" t="inlineStr">
        <is>
          <t>ORD-11128</t>
        </is>
      </c>
      <c r="B1077" s="26" t="n">
        <v>45997</v>
      </c>
      <c r="C1077" s="25">
        <f>MONTH(B1077)</f>
        <v/>
      </c>
      <c r="D1077" s="25" t="inlineStr">
        <is>
          <t>South</t>
        </is>
      </c>
      <c r="E1077" s="25" t="inlineStr">
        <is>
          <t>Office Supplies</t>
        </is>
      </c>
      <c r="F1077" s="25" t="inlineStr">
        <is>
          <t>Printer Paper Box</t>
        </is>
      </c>
      <c r="G1077" s="25" t="n">
        <v>1</v>
      </c>
      <c r="H1077" s="27" t="n">
        <v>1600</v>
      </c>
      <c r="I1077" s="28" t="n">
        <v>0.1</v>
      </c>
      <c r="J1077" s="27" t="n">
        <v>1050</v>
      </c>
      <c r="K1077" s="27">
        <f>G1077*H1077*(1-I1077)</f>
        <v/>
      </c>
      <c r="L1077" s="27">
        <f>K1077-G1077*J1077</f>
        <v/>
      </c>
    </row>
    <row r="1078">
      <c r="A1078" s="25" t="inlineStr">
        <is>
          <t>ORD-11132</t>
        </is>
      </c>
      <c r="B1078" s="26" t="n">
        <v>45997</v>
      </c>
      <c r="C1078" s="25">
        <f>MONTH(B1078)</f>
        <v/>
      </c>
      <c r="D1078" s="25" t="inlineStr">
        <is>
          <t>West</t>
        </is>
      </c>
      <c r="E1078" s="25" t="inlineStr">
        <is>
          <t>Office Supplies</t>
        </is>
      </c>
      <c r="F1078" s="25" t="inlineStr">
        <is>
          <t>Notebook Set</t>
        </is>
      </c>
      <c r="G1078" s="25" t="n">
        <v>2</v>
      </c>
      <c r="H1078" s="27" t="n">
        <v>450</v>
      </c>
      <c r="I1078" s="28" t="n">
        <v>0.05</v>
      </c>
      <c r="J1078" s="27" t="n">
        <v>190</v>
      </c>
      <c r="K1078" s="27">
        <f>G1078*H1078*(1-I1078)</f>
        <v/>
      </c>
      <c r="L1078" s="27">
        <f>K1078-G1078*J1078</f>
        <v/>
      </c>
    </row>
    <row r="1079">
      <c r="A1079" s="25" t="inlineStr">
        <is>
          <t>ORD-11161</t>
        </is>
      </c>
      <c r="B1079" s="26" t="n">
        <v>45997</v>
      </c>
      <c r="C1079" s="25">
        <f>MONTH(B1079)</f>
        <v/>
      </c>
      <c r="D1079" s="25" t="inlineStr">
        <is>
          <t>East</t>
        </is>
      </c>
      <c r="E1079" s="25" t="inlineStr">
        <is>
          <t>Office Supplies</t>
        </is>
      </c>
      <c r="F1079" s="25" t="inlineStr">
        <is>
          <t>Desk Organizer</t>
        </is>
      </c>
      <c r="G1079" s="25" t="n">
        <v>5</v>
      </c>
      <c r="H1079" s="27" t="n">
        <v>850</v>
      </c>
      <c r="I1079" s="28" t="n">
        <v>0.15</v>
      </c>
      <c r="J1079" s="27" t="n">
        <v>420</v>
      </c>
      <c r="K1079" s="27">
        <f>G1079*H1079*(1-I1079)</f>
        <v/>
      </c>
      <c r="L1079" s="27">
        <f>K1079-G1079*J1079</f>
        <v/>
      </c>
    </row>
    <row r="1080">
      <c r="A1080" s="25" t="inlineStr">
        <is>
          <t>ORD-10271</t>
        </is>
      </c>
      <c r="B1080" s="26" t="n">
        <v>45998</v>
      </c>
      <c r="C1080" s="25">
        <f>MONTH(B1080)</f>
        <v/>
      </c>
      <c r="D1080" s="25" t="inlineStr">
        <is>
          <t>East</t>
        </is>
      </c>
      <c r="E1080" s="25" t="inlineStr">
        <is>
          <t>Office Supplies</t>
        </is>
      </c>
      <c r="F1080" s="25" t="inlineStr">
        <is>
          <t>Printer Paper Box</t>
        </is>
      </c>
      <c r="G1080" s="25" t="n">
        <v>5</v>
      </c>
      <c r="H1080" s="27" t="n">
        <v>1600</v>
      </c>
      <c r="I1080" s="28" t="n">
        <v>0.05</v>
      </c>
      <c r="J1080" s="27" t="n">
        <v>1050</v>
      </c>
      <c r="K1080" s="27">
        <f>G1080*H1080*(1-I1080)</f>
        <v/>
      </c>
      <c r="L1080" s="27">
        <f>K1080-G1080*J1080</f>
        <v/>
      </c>
    </row>
    <row r="1081">
      <c r="A1081" s="25" t="inlineStr">
        <is>
          <t>ORD-10523</t>
        </is>
      </c>
      <c r="B1081" s="26" t="n">
        <v>45998</v>
      </c>
      <c r="C1081" s="25">
        <f>MONTH(B1081)</f>
        <v/>
      </c>
      <c r="D1081" s="25" t="inlineStr">
        <is>
          <t>East</t>
        </is>
      </c>
      <c r="E1081" s="25" t="inlineStr">
        <is>
          <t>Office Supplies</t>
        </is>
      </c>
      <c r="F1081" s="25" t="inlineStr">
        <is>
          <t>Printer Paper Box</t>
        </is>
      </c>
      <c r="G1081" s="25" t="n">
        <v>2</v>
      </c>
      <c r="H1081" s="27" t="n">
        <v>1600</v>
      </c>
      <c r="I1081" s="28" t="n">
        <v>0.05</v>
      </c>
      <c r="J1081" s="27" t="n">
        <v>1050</v>
      </c>
      <c r="K1081" s="27">
        <f>G1081*H1081*(1-I1081)</f>
        <v/>
      </c>
      <c r="L1081" s="27">
        <f>K1081-G1081*J1081</f>
        <v/>
      </c>
    </row>
    <row r="1082">
      <c r="A1082" s="25" t="inlineStr">
        <is>
          <t>ORD-10679</t>
        </is>
      </c>
      <c r="B1082" s="26" t="n">
        <v>45998</v>
      </c>
      <c r="C1082" s="25">
        <f>MONTH(B1082)</f>
        <v/>
      </c>
      <c r="D1082" s="25" t="inlineStr">
        <is>
          <t>West</t>
        </is>
      </c>
      <c r="E1082" s="25" t="inlineStr">
        <is>
          <t>Office Supplies</t>
        </is>
      </c>
      <c r="F1082" s="25" t="inlineStr">
        <is>
          <t>Notebook Set</t>
        </is>
      </c>
      <c r="G1082" s="25" t="n">
        <v>8</v>
      </c>
      <c r="H1082" s="27" t="n">
        <v>450</v>
      </c>
      <c r="I1082" s="28" t="n">
        <v>0.05</v>
      </c>
      <c r="J1082" s="27" t="n">
        <v>190</v>
      </c>
      <c r="K1082" s="27">
        <f>G1082*H1082*(1-I1082)</f>
        <v/>
      </c>
      <c r="L1082" s="27">
        <f>K1082-G1082*J1082</f>
        <v/>
      </c>
    </row>
    <row r="1083">
      <c r="A1083" s="25" t="inlineStr">
        <is>
          <t>ORD-10978</t>
        </is>
      </c>
      <c r="B1083" s="26" t="n">
        <v>45998</v>
      </c>
      <c r="C1083" s="25">
        <f>MONTH(B1083)</f>
        <v/>
      </c>
      <c r="D1083" s="25" t="inlineStr">
        <is>
          <t>West</t>
        </is>
      </c>
      <c r="E1083" s="25" t="inlineStr">
        <is>
          <t>Accessories</t>
        </is>
      </c>
      <c r="F1083" s="25" t="inlineStr">
        <is>
          <t>Headphones</t>
        </is>
      </c>
      <c r="G1083" s="25" t="n">
        <v>3</v>
      </c>
      <c r="H1083" s="27" t="n">
        <v>4500</v>
      </c>
      <c r="I1083" s="28" t="n">
        <v>0.1</v>
      </c>
      <c r="J1083" s="27" t="n">
        <v>2600</v>
      </c>
      <c r="K1083" s="27">
        <f>G1083*H1083*(1-I1083)</f>
        <v/>
      </c>
      <c r="L1083" s="27">
        <f>K1083-G1083*J1083</f>
        <v/>
      </c>
    </row>
    <row r="1084">
      <c r="A1084" s="25" t="inlineStr">
        <is>
          <t>ORD-10999</t>
        </is>
      </c>
      <c r="B1084" s="26" t="n">
        <v>45998</v>
      </c>
      <c r="C1084" s="25">
        <f>MONTH(B1084)</f>
        <v/>
      </c>
      <c r="D1084" s="25" t="inlineStr">
        <is>
          <t>South</t>
        </is>
      </c>
      <c r="E1084" s="25" t="inlineStr">
        <is>
          <t>Furniture</t>
        </is>
      </c>
      <c r="F1084" s="25" t="inlineStr">
        <is>
          <t>Standing Desk</t>
        </is>
      </c>
      <c r="G1084" s="25" t="n">
        <v>2</v>
      </c>
      <c r="H1084" s="27" t="n">
        <v>19500</v>
      </c>
      <c r="I1084" s="28" t="n">
        <v>0</v>
      </c>
      <c r="J1084" s="27" t="n">
        <v>13800</v>
      </c>
      <c r="K1084" s="27">
        <f>G1084*H1084*(1-I1084)</f>
        <v/>
      </c>
      <c r="L1084" s="27">
        <f>K1084-G1084*J1084</f>
        <v/>
      </c>
    </row>
    <row r="1085">
      <c r="A1085" s="25" t="inlineStr">
        <is>
          <t>ORD-10092</t>
        </is>
      </c>
      <c r="B1085" s="26" t="n">
        <v>45999</v>
      </c>
      <c r="C1085" s="25">
        <f>MONTH(B1085)</f>
        <v/>
      </c>
      <c r="D1085" s="25" t="inlineStr">
        <is>
          <t>South</t>
        </is>
      </c>
      <c r="E1085" s="25" t="inlineStr">
        <is>
          <t>Accessories</t>
        </is>
      </c>
      <c r="F1085" s="25" t="inlineStr">
        <is>
          <t>Webcam</t>
        </is>
      </c>
      <c r="G1085" s="25" t="n">
        <v>3</v>
      </c>
      <c r="H1085" s="27" t="n">
        <v>3200</v>
      </c>
      <c r="I1085" s="28" t="n">
        <v>0</v>
      </c>
      <c r="J1085" s="27" t="n">
        <v>1900</v>
      </c>
      <c r="K1085" s="27">
        <f>G1085*H1085*(1-I1085)</f>
        <v/>
      </c>
      <c r="L1085" s="27">
        <f>K1085-G1085*J1085</f>
        <v/>
      </c>
    </row>
    <row r="1086">
      <c r="A1086" s="25" t="inlineStr">
        <is>
          <t>ORD-10686</t>
        </is>
      </c>
      <c r="B1086" s="26" t="n">
        <v>45999</v>
      </c>
      <c r="C1086" s="25">
        <f>MONTH(B1086)</f>
        <v/>
      </c>
      <c r="D1086" s="25" t="inlineStr">
        <is>
          <t>East</t>
        </is>
      </c>
      <c r="E1086" s="25" t="inlineStr">
        <is>
          <t>Technology</t>
        </is>
      </c>
      <c r="F1086" s="25" t="inlineStr">
        <is>
          <t>Wireless Mouse</t>
        </is>
      </c>
      <c r="G1086" s="25" t="n">
        <v>3</v>
      </c>
      <c r="H1086" s="27" t="n">
        <v>1200</v>
      </c>
      <c r="I1086" s="28" t="n">
        <v>0</v>
      </c>
      <c r="J1086" s="27" t="n">
        <v>650</v>
      </c>
      <c r="K1086" s="27">
        <f>G1086*H1086*(1-I1086)</f>
        <v/>
      </c>
      <c r="L1086" s="27">
        <f>K1086-G1086*J1086</f>
        <v/>
      </c>
    </row>
    <row r="1087">
      <c r="A1087" s="25" t="inlineStr">
        <is>
          <t>ORD-10818</t>
        </is>
      </c>
      <c r="B1087" s="26" t="n">
        <v>45999</v>
      </c>
      <c r="C1087" s="25">
        <f>MONTH(B1087)</f>
        <v/>
      </c>
      <c r="D1087" s="25" t="inlineStr">
        <is>
          <t>East</t>
        </is>
      </c>
      <c r="E1087" s="25" t="inlineStr">
        <is>
          <t>Technology</t>
        </is>
      </c>
      <c r="F1087" s="25" t="inlineStr">
        <is>
          <t>Wireless Mouse</t>
        </is>
      </c>
      <c r="G1087" s="25" t="n">
        <v>5</v>
      </c>
      <c r="H1087" s="27" t="n">
        <v>1200</v>
      </c>
      <c r="I1087" s="28" t="n">
        <v>0.15</v>
      </c>
      <c r="J1087" s="27" t="n">
        <v>650</v>
      </c>
      <c r="K1087" s="27">
        <f>G1087*H1087*(1-I1087)</f>
        <v/>
      </c>
      <c r="L1087" s="27">
        <f>K1087-G1087*J1087</f>
        <v/>
      </c>
    </row>
    <row r="1088">
      <c r="A1088" s="25" t="inlineStr">
        <is>
          <t>ORD-11119</t>
        </is>
      </c>
      <c r="B1088" s="26" t="n">
        <v>45999</v>
      </c>
      <c r="C1088" s="25">
        <f>MONTH(B1088)</f>
        <v/>
      </c>
      <c r="D1088" s="25" t="inlineStr">
        <is>
          <t>North</t>
        </is>
      </c>
      <c r="E1088" s="25" t="inlineStr">
        <is>
          <t>Technology</t>
        </is>
      </c>
      <c r="F1088" s="25" t="inlineStr">
        <is>
          <t>Wireless Mouse</t>
        </is>
      </c>
      <c r="G1088" s="25" t="n">
        <v>5</v>
      </c>
      <c r="H1088" s="27" t="n">
        <v>1200</v>
      </c>
      <c r="I1088" s="28" t="n">
        <v>0.05</v>
      </c>
      <c r="J1088" s="27" t="n">
        <v>650</v>
      </c>
      <c r="K1088" s="27">
        <f>G1088*H1088*(1-I1088)</f>
        <v/>
      </c>
      <c r="L1088" s="27">
        <f>K1088-G1088*J1088</f>
        <v/>
      </c>
    </row>
    <row r="1089">
      <c r="A1089" s="25" t="inlineStr">
        <is>
          <t>ORD-11138</t>
        </is>
      </c>
      <c r="B1089" s="26" t="n">
        <v>45999</v>
      </c>
      <c r="C1089" s="25">
        <f>MONTH(B1089)</f>
        <v/>
      </c>
      <c r="D1089" s="25" t="inlineStr">
        <is>
          <t>North</t>
        </is>
      </c>
      <c r="E1089" s="25" t="inlineStr">
        <is>
          <t>Office Supplies</t>
        </is>
      </c>
      <c r="F1089" s="25" t="inlineStr">
        <is>
          <t>Printer Paper Box</t>
        </is>
      </c>
      <c r="G1089" s="25" t="n">
        <v>5</v>
      </c>
      <c r="H1089" s="27" t="n">
        <v>1600</v>
      </c>
      <c r="I1089" s="28" t="n">
        <v>0.05</v>
      </c>
      <c r="J1089" s="27" t="n">
        <v>1050</v>
      </c>
      <c r="K1089" s="27">
        <f>G1089*H1089*(1-I1089)</f>
        <v/>
      </c>
      <c r="L1089" s="27">
        <f>K1089-G1089*J1089</f>
        <v/>
      </c>
    </row>
    <row r="1090">
      <c r="A1090" s="25" t="inlineStr">
        <is>
          <t>ORD-11153</t>
        </is>
      </c>
      <c r="B1090" s="26" t="n">
        <v>45999</v>
      </c>
      <c r="C1090" s="25">
        <f>MONTH(B1090)</f>
        <v/>
      </c>
      <c r="D1090" s="25" t="inlineStr">
        <is>
          <t>North</t>
        </is>
      </c>
      <c r="E1090" s="25" t="inlineStr">
        <is>
          <t>Technology</t>
        </is>
      </c>
      <c r="F1090" s="25" t="inlineStr">
        <is>
          <t>Monitor 24"</t>
        </is>
      </c>
      <c r="G1090" s="25" t="n">
        <v>1</v>
      </c>
      <c r="H1090" s="27" t="n">
        <v>11500</v>
      </c>
      <c r="I1090" s="28" t="n">
        <v>0.05</v>
      </c>
      <c r="J1090" s="27" t="n">
        <v>8200</v>
      </c>
      <c r="K1090" s="27">
        <f>G1090*H1090*(1-I1090)</f>
        <v/>
      </c>
      <c r="L1090" s="27">
        <f>K1090-G1090*J1090</f>
        <v/>
      </c>
    </row>
    <row r="1091">
      <c r="A1091" s="25" t="inlineStr">
        <is>
          <t>ORD-10260</t>
        </is>
      </c>
      <c r="B1091" s="26" t="n">
        <v>46000</v>
      </c>
      <c r="C1091" s="25">
        <f>MONTH(B1091)</f>
        <v/>
      </c>
      <c r="D1091" s="25" t="inlineStr">
        <is>
          <t>East</t>
        </is>
      </c>
      <c r="E1091" s="25" t="inlineStr">
        <is>
          <t>Technology</t>
        </is>
      </c>
      <c r="F1091" s="25" t="inlineStr">
        <is>
          <t>Wireless Mouse</t>
        </is>
      </c>
      <c r="G1091" s="25" t="n">
        <v>4</v>
      </c>
      <c r="H1091" s="27" t="n">
        <v>1200</v>
      </c>
      <c r="I1091" s="28" t="n">
        <v>0.05</v>
      </c>
      <c r="J1091" s="27" t="n">
        <v>650</v>
      </c>
      <c r="K1091" s="27">
        <f>G1091*H1091*(1-I1091)</f>
        <v/>
      </c>
      <c r="L1091" s="27">
        <f>K1091-G1091*J1091</f>
        <v/>
      </c>
    </row>
    <row r="1092">
      <c r="A1092" s="25" t="inlineStr">
        <is>
          <t>ORD-10278</t>
        </is>
      </c>
      <c r="B1092" s="26" t="n">
        <v>46000</v>
      </c>
      <c r="C1092" s="25">
        <f>MONTH(B1092)</f>
        <v/>
      </c>
      <c r="D1092" s="25" t="inlineStr">
        <is>
          <t>West</t>
        </is>
      </c>
      <c r="E1092" s="25" t="inlineStr">
        <is>
          <t>Office Supplies</t>
        </is>
      </c>
      <c r="F1092" s="25" t="inlineStr">
        <is>
          <t>Notebook Set</t>
        </is>
      </c>
      <c r="G1092" s="25" t="n">
        <v>8</v>
      </c>
      <c r="H1092" s="27" t="n">
        <v>450</v>
      </c>
      <c r="I1092" s="28" t="n">
        <v>0.05</v>
      </c>
      <c r="J1092" s="27" t="n">
        <v>190</v>
      </c>
      <c r="K1092" s="27">
        <f>G1092*H1092*(1-I1092)</f>
        <v/>
      </c>
      <c r="L1092" s="27">
        <f>K1092-G1092*J1092</f>
        <v/>
      </c>
    </row>
    <row r="1093">
      <c r="A1093" s="25" t="inlineStr">
        <is>
          <t>ORD-10513</t>
        </is>
      </c>
      <c r="B1093" s="26" t="n">
        <v>46000</v>
      </c>
      <c r="C1093" s="25">
        <f>MONTH(B1093)</f>
        <v/>
      </c>
      <c r="D1093" s="25" t="inlineStr">
        <is>
          <t>East</t>
        </is>
      </c>
      <c r="E1093" s="25" t="inlineStr">
        <is>
          <t>Office Supplies</t>
        </is>
      </c>
      <c r="F1093" s="25" t="inlineStr">
        <is>
          <t>Notebook Set</t>
        </is>
      </c>
      <c r="G1093" s="25" t="n">
        <v>4</v>
      </c>
      <c r="H1093" s="27" t="n">
        <v>450</v>
      </c>
      <c r="I1093" s="28" t="n">
        <v>0</v>
      </c>
      <c r="J1093" s="27" t="n">
        <v>190</v>
      </c>
      <c r="K1093" s="27">
        <f>G1093*H1093*(1-I1093)</f>
        <v/>
      </c>
      <c r="L1093" s="27">
        <f>K1093-G1093*J1093</f>
        <v/>
      </c>
    </row>
    <row r="1094">
      <c r="A1094" s="25" t="inlineStr">
        <is>
          <t>ORD-10725</t>
        </is>
      </c>
      <c r="B1094" s="26" t="n">
        <v>46000</v>
      </c>
      <c r="C1094" s="25">
        <f>MONTH(B1094)</f>
        <v/>
      </c>
      <c r="D1094" s="25" t="inlineStr">
        <is>
          <t>South</t>
        </is>
      </c>
      <c r="E1094" s="25" t="inlineStr">
        <is>
          <t>Office Supplies</t>
        </is>
      </c>
      <c r="F1094" s="25" t="inlineStr">
        <is>
          <t>Desk Organizer</t>
        </is>
      </c>
      <c r="G1094" s="25" t="n">
        <v>5</v>
      </c>
      <c r="H1094" s="27" t="n">
        <v>850</v>
      </c>
      <c r="I1094" s="28" t="n">
        <v>0.1</v>
      </c>
      <c r="J1094" s="27" t="n">
        <v>420</v>
      </c>
      <c r="K1094" s="27">
        <f>G1094*H1094*(1-I1094)</f>
        <v/>
      </c>
      <c r="L1094" s="27">
        <f>K1094-G1094*J1094</f>
        <v/>
      </c>
    </row>
    <row r="1095">
      <c r="A1095" s="25" t="inlineStr">
        <is>
          <t>ORD-10833</t>
        </is>
      </c>
      <c r="B1095" s="26" t="n">
        <v>46000</v>
      </c>
      <c r="C1095" s="25">
        <f>MONTH(B1095)</f>
        <v/>
      </c>
      <c r="D1095" s="25" t="inlineStr">
        <is>
          <t>West</t>
        </is>
      </c>
      <c r="E1095" s="25" t="inlineStr">
        <is>
          <t>Accessories</t>
        </is>
      </c>
      <c r="F1095" s="25" t="inlineStr">
        <is>
          <t>USB-C Hub</t>
        </is>
      </c>
      <c r="G1095" s="25" t="n">
        <v>2</v>
      </c>
      <c r="H1095" s="27" t="n">
        <v>1800</v>
      </c>
      <c r="I1095" s="28" t="n">
        <v>0</v>
      </c>
      <c r="J1095" s="27" t="n">
        <v>980</v>
      </c>
      <c r="K1095" s="27">
        <f>G1095*H1095*(1-I1095)</f>
        <v/>
      </c>
      <c r="L1095" s="27">
        <f>K1095-G1095*J1095</f>
        <v/>
      </c>
    </row>
    <row r="1096">
      <c r="A1096" s="25" t="inlineStr">
        <is>
          <t>ORD-10887</t>
        </is>
      </c>
      <c r="B1096" s="26" t="n">
        <v>46000</v>
      </c>
      <c r="C1096" s="25">
        <f>MONTH(B1096)</f>
        <v/>
      </c>
      <c r="D1096" s="25" t="inlineStr">
        <is>
          <t>South</t>
        </is>
      </c>
      <c r="E1096" s="25" t="inlineStr">
        <is>
          <t>Accessories</t>
        </is>
      </c>
      <c r="F1096" s="25" t="inlineStr">
        <is>
          <t>Headphones</t>
        </is>
      </c>
      <c r="G1096" s="25" t="n">
        <v>1</v>
      </c>
      <c r="H1096" s="27" t="n">
        <v>4500</v>
      </c>
      <c r="I1096" s="28" t="n">
        <v>0</v>
      </c>
      <c r="J1096" s="27" t="n">
        <v>2600</v>
      </c>
      <c r="K1096" s="27">
        <f>G1096*H1096*(1-I1096)</f>
        <v/>
      </c>
      <c r="L1096" s="27">
        <f>K1096-G1096*J1096</f>
        <v/>
      </c>
    </row>
    <row r="1097">
      <c r="A1097" s="25" t="inlineStr">
        <is>
          <t>ORD-11144</t>
        </is>
      </c>
      <c r="B1097" s="26" t="n">
        <v>46000</v>
      </c>
      <c r="C1097" s="25">
        <f>MONTH(B1097)</f>
        <v/>
      </c>
      <c r="D1097" s="25" t="inlineStr">
        <is>
          <t>North</t>
        </is>
      </c>
      <c r="E1097" s="25" t="inlineStr">
        <is>
          <t>Technology</t>
        </is>
      </c>
      <c r="F1097" s="25" t="inlineStr">
        <is>
          <t>Mechanical Keyboard</t>
        </is>
      </c>
      <c r="G1097" s="25" t="n">
        <v>2</v>
      </c>
      <c r="H1097" s="27" t="n">
        <v>4200</v>
      </c>
      <c r="I1097" s="28" t="n">
        <v>0</v>
      </c>
      <c r="J1097" s="27" t="n">
        <v>2500</v>
      </c>
      <c r="K1097" s="27">
        <f>G1097*H1097*(1-I1097)</f>
        <v/>
      </c>
      <c r="L1097" s="27">
        <f>K1097-G1097*J1097</f>
        <v/>
      </c>
    </row>
    <row r="1098">
      <c r="A1098" s="25" t="inlineStr">
        <is>
          <t>ORD-10254</t>
        </is>
      </c>
      <c r="B1098" s="26" t="n">
        <v>46001</v>
      </c>
      <c r="C1098" s="25">
        <f>MONTH(B1098)</f>
        <v/>
      </c>
      <c r="D1098" s="25" t="inlineStr">
        <is>
          <t>South</t>
        </is>
      </c>
      <c r="E1098" s="25" t="inlineStr">
        <is>
          <t>Accessories</t>
        </is>
      </c>
      <c r="F1098" s="25" t="inlineStr">
        <is>
          <t>USB-C Hub</t>
        </is>
      </c>
      <c r="G1098" s="25" t="n">
        <v>1</v>
      </c>
      <c r="H1098" s="27" t="n">
        <v>1800</v>
      </c>
      <c r="I1098" s="28" t="n">
        <v>0</v>
      </c>
      <c r="J1098" s="27" t="n">
        <v>980</v>
      </c>
      <c r="K1098" s="27">
        <f>G1098*H1098*(1-I1098)</f>
        <v/>
      </c>
      <c r="L1098" s="27">
        <f>K1098-G1098*J1098</f>
        <v/>
      </c>
    </row>
    <row r="1099">
      <c r="A1099" s="25" t="inlineStr">
        <is>
          <t>ORD-10267</t>
        </is>
      </c>
      <c r="B1099" s="26" t="n">
        <v>46001</v>
      </c>
      <c r="C1099" s="25">
        <f>MONTH(B1099)</f>
        <v/>
      </c>
      <c r="D1099" s="25" t="inlineStr">
        <is>
          <t>South</t>
        </is>
      </c>
      <c r="E1099" s="25" t="inlineStr">
        <is>
          <t>Office Supplies</t>
        </is>
      </c>
      <c r="F1099" s="25" t="inlineStr">
        <is>
          <t>Printer Paper Box</t>
        </is>
      </c>
      <c r="G1099" s="25" t="n">
        <v>1</v>
      </c>
      <c r="H1099" s="27" t="n">
        <v>1600</v>
      </c>
      <c r="I1099" s="28" t="n">
        <v>0.15</v>
      </c>
      <c r="J1099" s="27" t="n">
        <v>1050</v>
      </c>
      <c r="K1099" s="27">
        <f>G1099*H1099*(1-I1099)</f>
        <v/>
      </c>
      <c r="L1099" s="27">
        <f>K1099-G1099*J1099</f>
        <v/>
      </c>
    </row>
    <row r="1100">
      <c r="A1100" s="25" t="inlineStr">
        <is>
          <t>ORD-10510</t>
        </is>
      </c>
      <c r="B1100" s="26" t="n">
        <v>46001</v>
      </c>
      <c r="C1100" s="25">
        <f>MONTH(B1100)</f>
        <v/>
      </c>
      <c r="D1100" s="25" t="inlineStr">
        <is>
          <t>South</t>
        </is>
      </c>
      <c r="E1100" s="25" t="inlineStr">
        <is>
          <t>Furniture</t>
        </is>
      </c>
      <c r="F1100" s="25" t="inlineStr">
        <is>
          <t>Office Chair</t>
        </is>
      </c>
      <c r="G1100" s="25" t="n">
        <v>2</v>
      </c>
      <c r="H1100" s="27" t="n">
        <v>8500</v>
      </c>
      <c r="I1100" s="28" t="n">
        <v>0</v>
      </c>
      <c r="J1100" s="27" t="n">
        <v>5600</v>
      </c>
      <c r="K1100" s="27">
        <f>G1100*H1100*(1-I1100)</f>
        <v/>
      </c>
      <c r="L1100" s="27">
        <f>K1100-G1100*J1100</f>
        <v/>
      </c>
    </row>
    <row r="1101">
      <c r="A1101" s="25" t="inlineStr">
        <is>
          <t>ORD-10591</t>
        </is>
      </c>
      <c r="B1101" s="26" t="n">
        <v>46001</v>
      </c>
      <c r="C1101" s="25">
        <f>MONTH(B1101)</f>
        <v/>
      </c>
      <c r="D1101" s="25" t="inlineStr">
        <is>
          <t>East</t>
        </is>
      </c>
      <c r="E1101" s="25" t="inlineStr">
        <is>
          <t>Technology</t>
        </is>
      </c>
      <c r="F1101" s="25" t="inlineStr">
        <is>
          <t>Monitor 24"</t>
        </is>
      </c>
      <c r="G1101" s="25" t="n">
        <v>1</v>
      </c>
      <c r="H1101" s="27" t="n">
        <v>11500</v>
      </c>
      <c r="I1101" s="28" t="n">
        <v>0.1</v>
      </c>
      <c r="J1101" s="27" t="n">
        <v>8200</v>
      </c>
      <c r="K1101" s="27">
        <f>G1101*H1101*(1-I1101)</f>
        <v/>
      </c>
      <c r="L1101" s="27">
        <f>K1101-G1101*J1101</f>
        <v/>
      </c>
    </row>
    <row r="1102">
      <c r="A1102" s="25" t="inlineStr">
        <is>
          <t>ORD-10681</t>
        </is>
      </c>
      <c r="B1102" s="26" t="n">
        <v>46001</v>
      </c>
      <c r="C1102" s="25">
        <f>MONTH(B1102)</f>
        <v/>
      </c>
      <c r="D1102" s="25" t="inlineStr">
        <is>
          <t>East</t>
        </is>
      </c>
      <c r="E1102" s="25" t="inlineStr">
        <is>
          <t>Technology</t>
        </is>
      </c>
      <c r="F1102" s="25" t="inlineStr">
        <is>
          <t>Wireless Mouse</t>
        </is>
      </c>
      <c r="G1102" s="25" t="n">
        <v>2</v>
      </c>
      <c r="H1102" s="27" t="n">
        <v>1200</v>
      </c>
      <c r="I1102" s="28" t="n">
        <v>0.05</v>
      </c>
      <c r="J1102" s="27" t="n">
        <v>650</v>
      </c>
      <c r="K1102" s="27">
        <f>G1102*H1102*(1-I1102)</f>
        <v/>
      </c>
      <c r="L1102" s="27">
        <f>K1102-G1102*J1102</f>
        <v/>
      </c>
    </row>
    <row r="1103">
      <c r="A1103" s="25" t="inlineStr">
        <is>
          <t>ORD-10757</t>
        </is>
      </c>
      <c r="B1103" s="26" t="n">
        <v>46001</v>
      </c>
      <c r="C1103" s="25">
        <f>MONTH(B1103)</f>
        <v/>
      </c>
      <c r="D1103" s="25" t="inlineStr">
        <is>
          <t>East</t>
        </is>
      </c>
      <c r="E1103" s="25" t="inlineStr">
        <is>
          <t>Furniture</t>
        </is>
      </c>
      <c r="F1103" s="25" t="inlineStr">
        <is>
          <t>Office Chair</t>
        </is>
      </c>
      <c r="G1103" s="25" t="n">
        <v>1</v>
      </c>
      <c r="H1103" s="27" t="n">
        <v>8500</v>
      </c>
      <c r="I1103" s="28" t="n">
        <v>0.15</v>
      </c>
      <c r="J1103" s="27" t="n">
        <v>5600</v>
      </c>
      <c r="K1103" s="27">
        <f>G1103*H1103*(1-I1103)</f>
        <v/>
      </c>
      <c r="L1103" s="27">
        <f>K1103-G1103*J1103</f>
        <v/>
      </c>
    </row>
    <row r="1104">
      <c r="A1104" s="25" t="inlineStr">
        <is>
          <t>ORD-10240</t>
        </is>
      </c>
      <c r="B1104" s="26" t="n">
        <v>46002</v>
      </c>
      <c r="C1104" s="25">
        <f>MONTH(B1104)</f>
        <v/>
      </c>
      <c r="D1104" s="25" t="inlineStr">
        <is>
          <t>East</t>
        </is>
      </c>
      <c r="E1104" s="25" t="inlineStr">
        <is>
          <t>Office Supplies</t>
        </is>
      </c>
      <c r="F1104" s="25" t="inlineStr">
        <is>
          <t>Notebook Set</t>
        </is>
      </c>
      <c r="G1104" s="25" t="n">
        <v>4</v>
      </c>
      <c r="H1104" s="27" t="n">
        <v>450</v>
      </c>
      <c r="I1104" s="28" t="n">
        <v>0</v>
      </c>
      <c r="J1104" s="27" t="n">
        <v>190</v>
      </c>
      <c r="K1104" s="27">
        <f>G1104*H1104*(1-I1104)</f>
        <v/>
      </c>
      <c r="L1104" s="27">
        <f>K1104-G1104*J1104</f>
        <v/>
      </c>
    </row>
    <row r="1105">
      <c r="A1105" s="25" t="inlineStr">
        <is>
          <t>ORD-10546</t>
        </is>
      </c>
      <c r="B1105" s="26" t="n">
        <v>46002</v>
      </c>
      <c r="C1105" s="25">
        <f>MONTH(B1105)</f>
        <v/>
      </c>
      <c r="D1105" s="25" t="inlineStr">
        <is>
          <t>West</t>
        </is>
      </c>
      <c r="E1105" s="25" t="inlineStr">
        <is>
          <t>Office Supplies</t>
        </is>
      </c>
      <c r="F1105" s="25" t="inlineStr">
        <is>
          <t>Printer Paper Box</t>
        </is>
      </c>
      <c r="G1105" s="25" t="n">
        <v>3</v>
      </c>
      <c r="H1105" s="27" t="n">
        <v>1600</v>
      </c>
      <c r="I1105" s="28" t="n">
        <v>0.2</v>
      </c>
      <c r="J1105" s="27" t="n">
        <v>1050</v>
      </c>
      <c r="K1105" s="27">
        <f>G1105*H1105*(1-I1105)</f>
        <v/>
      </c>
      <c r="L1105" s="27">
        <f>K1105-G1105*J1105</f>
        <v/>
      </c>
    </row>
    <row r="1106">
      <c r="A1106" s="25" t="inlineStr">
        <is>
          <t>ORD-10923</t>
        </is>
      </c>
      <c r="B1106" s="26" t="n">
        <v>46002</v>
      </c>
      <c r="C1106" s="25">
        <f>MONTH(B1106)</f>
        <v/>
      </c>
      <c r="D1106" s="25" t="inlineStr">
        <is>
          <t>West</t>
        </is>
      </c>
      <c r="E1106" s="25" t="inlineStr">
        <is>
          <t>Technology</t>
        </is>
      </c>
      <c r="F1106" s="25" t="inlineStr">
        <is>
          <t>Wireless Mouse</t>
        </is>
      </c>
      <c r="G1106" s="25" t="n">
        <v>2</v>
      </c>
      <c r="H1106" s="27" t="n">
        <v>1200</v>
      </c>
      <c r="I1106" s="28" t="n">
        <v>0</v>
      </c>
      <c r="J1106" s="27" t="n">
        <v>650</v>
      </c>
      <c r="K1106" s="27">
        <f>G1106*H1106*(1-I1106)</f>
        <v/>
      </c>
      <c r="L1106" s="27">
        <f>K1106-G1106*J1106</f>
        <v/>
      </c>
    </row>
    <row r="1107">
      <c r="A1107" s="25" t="inlineStr">
        <is>
          <t>ORD-10793</t>
        </is>
      </c>
      <c r="B1107" s="26" t="n">
        <v>46003</v>
      </c>
      <c r="C1107" s="25">
        <f>MONTH(B1107)</f>
        <v/>
      </c>
      <c r="D1107" s="25" t="inlineStr">
        <is>
          <t>North</t>
        </is>
      </c>
      <c r="E1107" s="25" t="inlineStr">
        <is>
          <t>Furniture</t>
        </is>
      </c>
      <c r="F1107" s="25" t="inlineStr">
        <is>
          <t>Bookshelf</t>
        </is>
      </c>
      <c r="G1107" s="25" t="n">
        <v>3</v>
      </c>
      <c r="H1107" s="27" t="n">
        <v>6200</v>
      </c>
      <c r="I1107" s="28" t="n">
        <v>0.05</v>
      </c>
      <c r="J1107" s="27" t="n">
        <v>4100</v>
      </c>
      <c r="K1107" s="27">
        <f>G1107*H1107*(1-I1107)</f>
        <v/>
      </c>
      <c r="L1107" s="27">
        <f>K1107-G1107*J1107</f>
        <v/>
      </c>
    </row>
    <row r="1108">
      <c r="A1108" s="25" t="inlineStr">
        <is>
          <t>ORD-10832</t>
        </is>
      </c>
      <c r="B1108" s="26" t="n">
        <v>46003</v>
      </c>
      <c r="C1108" s="25">
        <f>MONTH(B1108)</f>
        <v/>
      </c>
      <c r="D1108" s="25" t="inlineStr">
        <is>
          <t>East</t>
        </is>
      </c>
      <c r="E1108" s="25" t="inlineStr">
        <is>
          <t>Office Supplies</t>
        </is>
      </c>
      <c r="F1108" s="25" t="inlineStr">
        <is>
          <t>Notebook Set</t>
        </is>
      </c>
      <c r="G1108" s="25" t="n">
        <v>7</v>
      </c>
      <c r="H1108" s="27" t="n">
        <v>450</v>
      </c>
      <c r="I1108" s="28" t="n">
        <v>0</v>
      </c>
      <c r="J1108" s="27" t="n">
        <v>190</v>
      </c>
      <c r="K1108" s="27">
        <f>G1108*H1108*(1-I1108)</f>
        <v/>
      </c>
      <c r="L1108" s="27">
        <f>K1108-G1108*J1108</f>
        <v/>
      </c>
    </row>
    <row r="1109">
      <c r="A1109" s="25" t="inlineStr">
        <is>
          <t>ORD-10860</t>
        </is>
      </c>
      <c r="B1109" s="26" t="n">
        <v>46003</v>
      </c>
      <c r="C1109" s="25">
        <f>MONTH(B1109)</f>
        <v/>
      </c>
      <c r="D1109" s="25" t="inlineStr">
        <is>
          <t>East</t>
        </is>
      </c>
      <c r="E1109" s="25" t="inlineStr">
        <is>
          <t>Technology</t>
        </is>
      </c>
      <c r="F1109" s="25" t="inlineStr">
        <is>
          <t>Wireless Mouse</t>
        </is>
      </c>
      <c r="G1109" s="25" t="n">
        <v>5</v>
      </c>
      <c r="H1109" s="27" t="n">
        <v>1200</v>
      </c>
      <c r="I1109" s="28" t="n">
        <v>0</v>
      </c>
      <c r="J1109" s="27" t="n">
        <v>650</v>
      </c>
      <c r="K1109" s="27">
        <f>G1109*H1109*(1-I1109)</f>
        <v/>
      </c>
      <c r="L1109" s="27">
        <f>K1109-G1109*J1109</f>
        <v/>
      </c>
    </row>
    <row r="1110">
      <c r="A1110" s="25" t="inlineStr">
        <is>
          <t>ORD-10920</t>
        </is>
      </c>
      <c r="B1110" s="26" t="n">
        <v>46003</v>
      </c>
      <c r="C1110" s="25">
        <f>MONTH(B1110)</f>
        <v/>
      </c>
      <c r="D1110" s="25" t="inlineStr">
        <is>
          <t>South</t>
        </is>
      </c>
      <c r="E1110" s="25" t="inlineStr">
        <is>
          <t>Technology</t>
        </is>
      </c>
      <c r="F1110" s="25" t="inlineStr">
        <is>
          <t>Wireless Mouse</t>
        </is>
      </c>
      <c r="G1110" s="25" t="n">
        <v>4</v>
      </c>
      <c r="H1110" s="27" t="n">
        <v>1200</v>
      </c>
      <c r="I1110" s="28" t="n">
        <v>0.05</v>
      </c>
      <c r="J1110" s="27" t="n">
        <v>650</v>
      </c>
      <c r="K1110" s="27">
        <f>G1110*H1110*(1-I1110)</f>
        <v/>
      </c>
      <c r="L1110" s="27">
        <f>K1110-G1110*J1110</f>
        <v/>
      </c>
    </row>
    <row r="1111">
      <c r="A1111" s="25" t="inlineStr">
        <is>
          <t>ORD-10045</t>
        </is>
      </c>
      <c r="B1111" s="26" t="n">
        <v>46004</v>
      </c>
      <c r="C1111" s="25">
        <f>MONTH(B1111)</f>
        <v/>
      </c>
      <c r="D1111" s="25" t="inlineStr">
        <is>
          <t>West</t>
        </is>
      </c>
      <c r="E1111" s="25" t="inlineStr">
        <is>
          <t>Office Supplies</t>
        </is>
      </c>
      <c r="F1111" s="25" t="inlineStr">
        <is>
          <t>Notebook Set</t>
        </is>
      </c>
      <c r="G1111" s="25" t="n">
        <v>6</v>
      </c>
      <c r="H1111" s="27" t="n">
        <v>450</v>
      </c>
      <c r="I1111" s="28" t="n">
        <v>0.2</v>
      </c>
      <c r="J1111" s="27" t="n">
        <v>190</v>
      </c>
      <c r="K1111" s="27">
        <f>G1111*H1111*(1-I1111)</f>
        <v/>
      </c>
      <c r="L1111" s="27">
        <f>K1111-G1111*J1111</f>
        <v/>
      </c>
    </row>
    <row r="1112">
      <c r="A1112" s="25" t="inlineStr">
        <is>
          <t>ORD-10543</t>
        </is>
      </c>
      <c r="B1112" s="26" t="n">
        <v>46004</v>
      </c>
      <c r="C1112" s="25">
        <f>MONTH(B1112)</f>
        <v/>
      </c>
      <c r="D1112" s="25" t="inlineStr">
        <is>
          <t>West</t>
        </is>
      </c>
      <c r="E1112" s="25" t="inlineStr">
        <is>
          <t>Office Supplies</t>
        </is>
      </c>
      <c r="F1112" s="25" t="inlineStr">
        <is>
          <t>Notebook Set</t>
        </is>
      </c>
      <c r="G1112" s="25" t="n">
        <v>8</v>
      </c>
      <c r="H1112" s="27" t="n">
        <v>450</v>
      </c>
      <c r="I1112" s="28" t="n">
        <v>0</v>
      </c>
      <c r="J1112" s="27" t="n">
        <v>190</v>
      </c>
      <c r="K1112" s="27">
        <f>G1112*H1112*(1-I1112)</f>
        <v/>
      </c>
      <c r="L1112" s="27">
        <f>K1112-G1112*J1112</f>
        <v/>
      </c>
    </row>
    <row r="1113">
      <c r="A1113" s="25" t="inlineStr">
        <is>
          <t>ORD-10611</t>
        </is>
      </c>
      <c r="B1113" s="26" t="n">
        <v>46004</v>
      </c>
      <c r="C1113" s="25">
        <f>MONTH(B1113)</f>
        <v/>
      </c>
      <c r="D1113" s="25" t="inlineStr">
        <is>
          <t>South</t>
        </is>
      </c>
      <c r="E1113" s="25" t="inlineStr">
        <is>
          <t>Technology</t>
        </is>
      </c>
      <c r="F1113" s="25" t="inlineStr">
        <is>
          <t>Wireless Mouse</t>
        </is>
      </c>
      <c r="G1113" s="25" t="n">
        <v>4</v>
      </c>
      <c r="H1113" s="27" t="n">
        <v>1200</v>
      </c>
      <c r="I1113" s="28" t="n">
        <v>0.1</v>
      </c>
      <c r="J1113" s="27" t="n">
        <v>650</v>
      </c>
      <c r="K1113" s="27">
        <f>G1113*H1113*(1-I1113)</f>
        <v/>
      </c>
      <c r="L1113" s="27">
        <f>K1113-G1113*J1113</f>
        <v/>
      </c>
    </row>
    <row r="1114">
      <c r="A1114" s="25" t="inlineStr">
        <is>
          <t>ORD-10901</t>
        </is>
      </c>
      <c r="B1114" s="26" t="n">
        <v>46004</v>
      </c>
      <c r="C1114" s="25">
        <f>MONTH(B1114)</f>
        <v/>
      </c>
      <c r="D1114" s="25" t="inlineStr">
        <is>
          <t>South</t>
        </is>
      </c>
      <c r="E1114" s="25" t="inlineStr">
        <is>
          <t>Office Supplies</t>
        </is>
      </c>
      <c r="F1114" s="25" t="inlineStr">
        <is>
          <t>Desk Organizer</t>
        </is>
      </c>
      <c r="G1114" s="25" t="n">
        <v>3</v>
      </c>
      <c r="H1114" s="27" t="n">
        <v>850</v>
      </c>
      <c r="I1114" s="28" t="n">
        <v>0</v>
      </c>
      <c r="J1114" s="27" t="n">
        <v>420</v>
      </c>
      <c r="K1114" s="27">
        <f>G1114*H1114*(1-I1114)</f>
        <v/>
      </c>
      <c r="L1114" s="27">
        <f>K1114-G1114*J1114</f>
        <v/>
      </c>
    </row>
    <row r="1115">
      <c r="A1115" s="25" t="inlineStr">
        <is>
          <t>ORD-10026</t>
        </is>
      </c>
      <c r="B1115" s="26" t="n">
        <v>46005</v>
      </c>
      <c r="C1115" s="25">
        <f>MONTH(B1115)</f>
        <v/>
      </c>
      <c r="D1115" s="25" t="inlineStr">
        <is>
          <t>North</t>
        </is>
      </c>
      <c r="E1115" s="25" t="inlineStr">
        <is>
          <t>Accessories</t>
        </is>
      </c>
      <c r="F1115" s="25" t="inlineStr">
        <is>
          <t>USB-C Hub</t>
        </is>
      </c>
      <c r="G1115" s="25" t="n">
        <v>4</v>
      </c>
      <c r="H1115" s="27" t="n">
        <v>1800</v>
      </c>
      <c r="I1115" s="28" t="n">
        <v>0.1</v>
      </c>
      <c r="J1115" s="27" t="n">
        <v>980</v>
      </c>
      <c r="K1115" s="27">
        <f>G1115*H1115*(1-I1115)</f>
        <v/>
      </c>
      <c r="L1115" s="27">
        <f>K1115-G1115*J1115</f>
        <v/>
      </c>
    </row>
    <row r="1116">
      <c r="A1116" s="25" t="inlineStr">
        <is>
          <t>ORD-10071</t>
        </is>
      </c>
      <c r="B1116" s="26" t="n">
        <v>46005</v>
      </c>
      <c r="C1116" s="25">
        <f>MONTH(B1116)</f>
        <v/>
      </c>
      <c r="D1116" s="25" t="inlineStr">
        <is>
          <t>West</t>
        </is>
      </c>
      <c r="E1116" s="25" t="inlineStr">
        <is>
          <t>Technology</t>
        </is>
      </c>
      <c r="F1116" s="25" t="inlineStr">
        <is>
          <t>Wireless Mouse</t>
        </is>
      </c>
      <c r="G1116" s="25" t="n">
        <v>5</v>
      </c>
      <c r="H1116" s="27" t="n">
        <v>1200</v>
      </c>
      <c r="I1116" s="28" t="n">
        <v>0.1</v>
      </c>
      <c r="J1116" s="27" t="n">
        <v>650</v>
      </c>
      <c r="K1116" s="27">
        <f>G1116*H1116*(1-I1116)</f>
        <v/>
      </c>
      <c r="L1116" s="27">
        <f>K1116-G1116*J1116</f>
        <v/>
      </c>
    </row>
    <row r="1117">
      <c r="A1117" s="25" t="inlineStr">
        <is>
          <t>ORD-10115</t>
        </is>
      </c>
      <c r="B1117" s="26" t="n">
        <v>46005</v>
      </c>
      <c r="C1117" s="25">
        <f>MONTH(B1117)</f>
        <v/>
      </c>
      <c r="D1117" s="25" t="inlineStr">
        <is>
          <t>South</t>
        </is>
      </c>
      <c r="E1117" s="25" t="inlineStr">
        <is>
          <t>Office Supplies</t>
        </is>
      </c>
      <c r="F1117" s="25" t="inlineStr">
        <is>
          <t>Printer Paper Box</t>
        </is>
      </c>
      <c r="G1117" s="25" t="n">
        <v>5</v>
      </c>
      <c r="H1117" s="27" t="n">
        <v>1600</v>
      </c>
      <c r="I1117" s="28" t="n">
        <v>0.1</v>
      </c>
      <c r="J1117" s="27" t="n">
        <v>1050</v>
      </c>
      <c r="K1117" s="27">
        <f>G1117*H1117*(1-I1117)</f>
        <v/>
      </c>
      <c r="L1117" s="27">
        <f>K1117-G1117*J1117</f>
        <v/>
      </c>
    </row>
    <row r="1118">
      <c r="A1118" s="25" t="inlineStr">
        <is>
          <t>ORD-10406</t>
        </is>
      </c>
      <c r="B1118" s="26" t="n">
        <v>46005</v>
      </c>
      <c r="C1118" s="25">
        <f>MONTH(B1118)</f>
        <v/>
      </c>
      <c r="D1118" s="25" t="inlineStr">
        <is>
          <t>South</t>
        </is>
      </c>
      <c r="E1118" s="25" t="inlineStr">
        <is>
          <t>Accessories</t>
        </is>
      </c>
      <c r="F1118" s="25" t="inlineStr">
        <is>
          <t>USB-C Hub</t>
        </is>
      </c>
      <c r="G1118" s="25" t="n">
        <v>1</v>
      </c>
      <c r="H1118" s="27" t="n">
        <v>1800</v>
      </c>
      <c r="I1118" s="28" t="n">
        <v>0.15</v>
      </c>
      <c r="J1118" s="27" t="n">
        <v>980</v>
      </c>
      <c r="K1118" s="27">
        <f>G1118*H1118*(1-I1118)</f>
        <v/>
      </c>
      <c r="L1118" s="27">
        <f>K1118-G1118*J1118</f>
        <v/>
      </c>
    </row>
    <row r="1119">
      <c r="A1119" s="25" t="inlineStr">
        <is>
          <t>ORD-10625</t>
        </is>
      </c>
      <c r="B1119" s="26" t="n">
        <v>46005</v>
      </c>
      <c r="C1119" s="25">
        <f>MONTH(B1119)</f>
        <v/>
      </c>
      <c r="D1119" s="25" t="inlineStr">
        <is>
          <t>North</t>
        </is>
      </c>
      <c r="E1119" s="25" t="inlineStr">
        <is>
          <t>Office Supplies</t>
        </is>
      </c>
      <c r="F1119" s="25" t="inlineStr">
        <is>
          <t>Printer Paper Box</t>
        </is>
      </c>
      <c r="G1119" s="25" t="n">
        <v>2</v>
      </c>
      <c r="H1119" s="27" t="n">
        <v>1600</v>
      </c>
      <c r="I1119" s="28" t="n">
        <v>0</v>
      </c>
      <c r="J1119" s="27" t="n">
        <v>1050</v>
      </c>
      <c r="K1119" s="27">
        <f>G1119*H1119*(1-I1119)</f>
        <v/>
      </c>
      <c r="L1119" s="27">
        <f>K1119-G1119*J1119</f>
        <v/>
      </c>
    </row>
    <row r="1120">
      <c r="A1120" s="25" t="inlineStr">
        <is>
          <t>ORD-10663</t>
        </is>
      </c>
      <c r="B1120" s="26" t="n">
        <v>46005</v>
      </c>
      <c r="C1120" s="25">
        <f>MONTH(B1120)</f>
        <v/>
      </c>
      <c r="D1120" s="25" t="inlineStr">
        <is>
          <t>West</t>
        </is>
      </c>
      <c r="E1120" s="25" t="inlineStr">
        <is>
          <t>Technology</t>
        </is>
      </c>
      <c r="F1120" s="25" t="inlineStr">
        <is>
          <t>Mechanical Keyboard</t>
        </is>
      </c>
      <c r="G1120" s="25" t="n">
        <v>2</v>
      </c>
      <c r="H1120" s="27" t="n">
        <v>4200</v>
      </c>
      <c r="I1120" s="28" t="n">
        <v>0</v>
      </c>
      <c r="J1120" s="27" t="n">
        <v>2500</v>
      </c>
      <c r="K1120" s="27">
        <f>G1120*H1120*(1-I1120)</f>
        <v/>
      </c>
      <c r="L1120" s="27">
        <f>K1120-G1120*J1120</f>
        <v/>
      </c>
    </row>
    <row r="1121">
      <c r="A1121" s="25" t="inlineStr">
        <is>
          <t>ORD-10713</t>
        </is>
      </c>
      <c r="B1121" s="26" t="n">
        <v>46005</v>
      </c>
      <c r="C1121" s="25">
        <f>MONTH(B1121)</f>
        <v/>
      </c>
      <c r="D1121" s="25" t="inlineStr">
        <is>
          <t>East</t>
        </is>
      </c>
      <c r="E1121" s="25" t="inlineStr">
        <is>
          <t>Accessories</t>
        </is>
      </c>
      <c r="F1121" s="25" t="inlineStr">
        <is>
          <t>Headphones</t>
        </is>
      </c>
      <c r="G1121" s="25" t="n">
        <v>3</v>
      </c>
      <c r="H1121" s="27" t="n">
        <v>4500</v>
      </c>
      <c r="I1121" s="28" t="n">
        <v>0</v>
      </c>
      <c r="J1121" s="27" t="n">
        <v>2600</v>
      </c>
      <c r="K1121" s="27">
        <f>G1121*H1121*(1-I1121)</f>
        <v/>
      </c>
      <c r="L1121" s="27">
        <f>K1121-G1121*J1121</f>
        <v/>
      </c>
    </row>
    <row r="1122">
      <c r="A1122" s="25" t="inlineStr">
        <is>
          <t>ORD-10928</t>
        </is>
      </c>
      <c r="B1122" s="26" t="n">
        <v>46005</v>
      </c>
      <c r="C1122" s="25">
        <f>MONTH(B1122)</f>
        <v/>
      </c>
      <c r="D1122" s="25" t="inlineStr">
        <is>
          <t>North</t>
        </is>
      </c>
      <c r="E1122" s="25" t="inlineStr">
        <is>
          <t>Technology</t>
        </is>
      </c>
      <c r="F1122" s="25" t="inlineStr">
        <is>
          <t>Wireless Mouse</t>
        </is>
      </c>
      <c r="G1122" s="25" t="n">
        <v>5</v>
      </c>
      <c r="H1122" s="27" t="n">
        <v>1200</v>
      </c>
      <c r="I1122" s="28" t="n">
        <v>0</v>
      </c>
      <c r="J1122" s="27" t="n">
        <v>650</v>
      </c>
      <c r="K1122" s="27">
        <f>G1122*H1122*(1-I1122)</f>
        <v/>
      </c>
      <c r="L1122" s="27">
        <f>K1122-G1122*J1122</f>
        <v/>
      </c>
    </row>
    <row r="1123">
      <c r="A1123" s="25" t="inlineStr">
        <is>
          <t>ORD-11062</t>
        </is>
      </c>
      <c r="B1123" s="26" t="n">
        <v>46005</v>
      </c>
      <c r="C1123" s="25">
        <f>MONTH(B1123)</f>
        <v/>
      </c>
      <c r="D1123" s="25" t="inlineStr">
        <is>
          <t>North</t>
        </is>
      </c>
      <c r="E1123" s="25" t="inlineStr">
        <is>
          <t>Office Supplies</t>
        </is>
      </c>
      <c r="F1123" s="25" t="inlineStr">
        <is>
          <t>Notebook Set</t>
        </is>
      </c>
      <c r="G1123" s="25" t="n">
        <v>1</v>
      </c>
      <c r="H1123" s="27" t="n">
        <v>450</v>
      </c>
      <c r="I1123" s="28" t="n">
        <v>0</v>
      </c>
      <c r="J1123" s="27" t="n">
        <v>190</v>
      </c>
      <c r="K1123" s="27">
        <f>G1123*H1123*(1-I1123)</f>
        <v/>
      </c>
      <c r="L1123" s="27">
        <f>K1123-G1123*J1123</f>
        <v/>
      </c>
    </row>
    <row r="1124">
      <c r="A1124" s="25" t="inlineStr">
        <is>
          <t>ORD-10078</t>
        </is>
      </c>
      <c r="B1124" s="26" t="n">
        <v>46006</v>
      </c>
      <c r="C1124" s="25">
        <f>MONTH(B1124)</f>
        <v/>
      </c>
      <c r="D1124" s="25" t="inlineStr">
        <is>
          <t>East</t>
        </is>
      </c>
      <c r="E1124" s="25" t="inlineStr">
        <is>
          <t>Technology</t>
        </is>
      </c>
      <c r="F1124" s="25" t="inlineStr">
        <is>
          <t>Wireless Mouse</t>
        </is>
      </c>
      <c r="G1124" s="25" t="n">
        <v>5</v>
      </c>
      <c r="H1124" s="27" t="n">
        <v>1200</v>
      </c>
      <c r="I1124" s="28" t="n">
        <v>0.05</v>
      </c>
      <c r="J1124" s="27" t="n">
        <v>650</v>
      </c>
      <c r="K1124" s="27">
        <f>G1124*H1124*(1-I1124)</f>
        <v/>
      </c>
      <c r="L1124" s="27">
        <f>K1124-G1124*J1124</f>
        <v/>
      </c>
    </row>
    <row r="1125">
      <c r="A1125" s="25" t="inlineStr">
        <is>
          <t>ORD-10375</t>
        </is>
      </c>
      <c r="B1125" s="26" t="n">
        <v>46006</v>
      </c>
      <c r="C1125" s="25">
        <f>MONTH(B1125)</f>
        <v/>
      </c>
      <c r="D1125" s="25" t="inlineStr">
        <is>
          <t>West</t>
        </is>
      </c>
      <c r="E1125" s="25" t="inlineStr">
        <is>
          <t>Office Supplies</t>
        </is>
      </c>
      <c r="F1125" s="25" t="inlineStr">
        <is>
          <t>Printer Paper Box</t>
        </is>
      </c>
      <c r="G1125" s="25" t="n">
        <v>1</v>
      </c>
      <c r="H1125" s="27" t="n">
        <v>1600</v>
      </c>
      <c r="I1125" s="28" t="n">
        <v>0.1</v>
      </c>
      <c r="J1125" s="27" t="n">
        <v>1050</v>
      </c>
      <c r="K1125" s="27">
        <f>G1125*H1125*(1-I1125)</f>
        <v/>
      </c>
      <c r="L1125" s="27">
        <f>K1125-G1125*J1125</f>
        <v/>
      </c>
    </row>
    <row r="1126">
      <c r="A1126" s="25" t="inlineStr">
        <is>
          <t>ORD-11011</t>
        </is>
      </c>
      <c r="B1126" s="26" t="n">
        <v>46006</v>
      </c>
      <c r="C1126" s="25">
        <f>MONTH(B1126)</f>
        <v/>
      </c>
      <c r="D1126" s="25" t="inlineStr">
        <is>
          <t>West</t>
        </is>
      </c>
      <c r="E1126" s="25" t="inlineStr">
        <is>
          <t>Office Supplies</t>
        </is>
      </c>
      <c r="F1126" s="25" t="inlineStr">
        <is>
          <t>Printer Paper Box</t>
        </is>
      </c>
      <c r="G1126" s="25" t="n">
        <v>5</v>
      </c>
      <c r="H1126" s="27" t="n">
        <v>1600</v>
      </c>
      <c r="I1126" s="28" t="n">
        <v>0.05</v>
      </c>
      <c r="J1126" s="27" t="n">
        <v>1050</v>
      </c>
      <c r="K1126" s="27">
        <f>G1126*H1126*(1-I1126)</f>
        <v/>
      </c>
      <c r="L1126" s="27">
        <f>K1126-G1126*J1126</f>
        <v/>
      </c>
    </row>
    <row r="1127">
      <c r="A1127" s="25" t="inlineStr">
        <is>
          <t>ORD-10121</t>
        </is>
      </c>
      <c r="B1127" s="26" t="n">
        <v>46007</v>
      </c>
      <c r="C1127" s="25">
        <f>MONTH(B1127)</f>
        <v/>
      </c>
      <c r="D1127" s="25" t="inlineStr">
        <is>
          <t>South</t>
        </is>
      </c>
      <c r="E1127" s="25" t="inlineStr">
        <is>
          <t>Accessories</t>
        </is>
      </c>
      <c r="F1127" s="25" t="inlineStr">
        <is>
          <t>Headphones</t>
        </is>
      </c>
      <c r="G1127" s="25" t="n">
        <v>3</v>
      </c>
      <c r="H1127" s="27" t="n">
        <v>4500</v>
      </c>
      <c r="I1127" s="28" t="n">
        <v>0</v>
      </c>
      <c r="J1127" s="27" t="n">
        <v>2600</v>
      </c>
      <c r="K1127" s="27">
        <f>G1127*H1127*(1-I1127)</f>
        <v/>
      </c>
      <c r="L1127" s="27">
        <f>K1127-G1127*J1127</f>
        <v/>
      </c>
    </row>
    <row r="1128">
      <c r="A1128" s="25" t="inlineStr">
        <is>
          <t>ORD-10184</t>
        </is>
      </c>
      <c r="B1128" s="26" t="n">
        <v>46007</v>
      </c>
      <c r="C1128" s="25">
        <f>MONTH(B1128)</f>
        <v/>
      </c>
      <c r="D1128" s="25" t="inlineStr">
        <is>
          <t>West</t>
        </is>
      </c>
      <c r="E1128" s="25" t="inlineStr">
        <is>
          <t>Accessories</t>
        </is>
      </c>
      <c r="F1128" s="25" t="inlineStr">
        <is>
          <t>Webcam</t>
        </is>
      </c>
      <c r="G1128" s="25" t="n">
        <v>2</v>
      </c>
      <c r="H1128" s="27" t="n">
        <v>3200</v>
      </c>
      <c r="I1128" s="28" t="n">
        <v>0.05</v>
      </c>
      <c r="J1128" s="27" t="n">
        <v>1900</v>
      </c>
      <c r="K1128" s="27">
        <f>G1128*H1128*(1-I1128)</f>
        <v/>
      </c>
      <c r="L1128" s="27">
        <f>K1128-G1128*J1128</f>
        <v/>
      </c>
    </row>
    <row r="1129">
      <c r="A1129" s="25" t="inlineStr">
        <is>
          <t>ORD-10224</t>
        </is>
      </c>
      <c r="B1129" s="26" t="n">
        <v>46007</v>
      </c>
      <c r="C1129" s="25">
        <f>MONTH(B1129)</f>
        <v/>
      </c>
      <c r="D1129" s="25" t="inlineStr">
        <is>
          <t>North</t>
        </is>
      </c>
      <c r="E1129" s="25" t="inlineStr">
        <is>
          <t>Office Supplies</t>
        </is>
      </c>
      <c r="F1129" s="25" t="inlineStr">
        <is>
          <t>Desk Organizer</t>
        </is>
      </c>
      <c r="G1129" s="25" t="n">
        <v>4</v>
      </c>
      <c r="H1129" s="27" t="n">
        <v>850</v>
      </c>
      <c r="I1129" s="28" t="n">
        <v>0</v>
      </c>
      <c r="J1129" s="27" t="n">
        <v>420</v>
      </c>
      <c r="K1129" s="27">
        <f>G1129*H1129*(1-I1129)</f>
        <v/>
      </c>
      <c r="L1129" s="27">
        <f>K1129-G1129*J1129</f>
        <v/>
      </c>
    </row>
    <row r="1130">
      <c r="A1130" s="25" t="inlineStr">
        <is>
          <t>ORD-10285</t>
        </is>
      </c>
      <c r="B1130" s="26" t="n">
        <v>46007</v>
      </c>
      <c r="C1130" s="25">
        <f>MONTH(B1130)</f>
        <v/>
      </c>
      <c r="D1130" s="25" t="inlineStr">
        <is>
          <t>West</t>
        </is>
      </c>
      <c r="E1130" s="25" t="inlineStr">
        <is>
          <t>Technology</t>
        </is>
      </c>
      <c r="F1130" s="25" t="inlineStr">
        <is>
          <t>Monitor 24"</t>
        </is>
      </c>
      <c r="G1130" s="25" t="n">
        <v>1</v>
      </c>
      <c r="H1130" s="27" t="n">
        <v>11500</v>
      </c>
      <c r="I1130" s="28" t="n">
        <v>0.1</v>
      </c>
      <c r="J1130" s="27" t="n">
        <v>8200</v>
      </c>
      <c r="K1130" s="27">
        <f>G1130*H1130*(1-I1130)</f>
        <v/>
      </c>
      <c r="L1130" s="27">
        <f>K1130-G1130*J1130</f>
        <v/>
      </c>
    </row>
    <row r="1131">
      <c r="A1131" s="25" t="inlineStr">
        <is>
          <t>ORD-10538</t>
        </is>
      </c>
      <c r="B1131" s="26" t="n">
        <v>46007</v>
      </c>
      <c r="C1131" s="25">
        <f>MONTH(B1131)</f>
        <v/>
      </c>
      <c r="D1131" s="25" t="inlineStr">
        <is>
          <t>West</t>
        </is>
      </c>
      <c r="E1131" s="25" t="inlineStr">
        <is>
          <t>Office Supplies</t>
        </is>
      </c>
      <c r="F1131" s="25" t="inlineStr">
        <is>
          <t>Notebook Set</t>
        </is>
      </c>
      <c r="G1131" s="25" t="n">
        <v>8</v>
      </c>
      <c r="H1131" s="27" t="n">
        <v>450</v>
      </c>
      <c r="I1131" s="28" t="n">
        <v>0</v>
      </c>
      <c r="J1131" s="27" t="n">
        <v>190</v>
      </c>
      <c r="K1131" s="27">
        <f>G1131*H1131*(1-I1131)</f>
        <v/>
      </c>
      <c r="L1131" s="27">
        <f>K1131-G1131*J1131</f>
        <v/>
      </c>
    </row>
    <row r="1132">
      <c r="A1132" s="25" t="inlineStr">
        <is>
          <t>ORD-10599</t>
        </is>
      </c>
      <c r="B1132" s="26" t="n">
        <v>46007</v>
      </c>
      <c r="C1132" s="25">
        <f>MONTH(B1132)</f>
        <v/>
      </c>
      <c r="D1132" s="25" t="inlineStr">
        <is>
          <t>South</t>
        </is>
      </c>
      <c r="E1132" s="25" t="inlineStr">
        <is>
          <t>Accessories</t>
        </is>
      </c>
      <c r="F1132" s="25" t="inlineStr">
        <is>
          <t>Headphones</t>
        </is>
      </c>
      <c r="G1132" s="25" t="n">
        <v>1</v>
      </c>
      <c r="H1132" s="27" t="n">
        <v>4500</v>
      </c>
      <c r="I1132" s="28" t="n">
        <v>0</v>
      </c>
      <c r="J1132" s="27" t="n">
        <v>2600</v>
      </c>
      <c r="K1132" s="27">
        <f>G1132*H1132*(1-I1132)</f>
        <v/>
      </c>
      <c r="L1132" s="27">
        <f>K1132-G1132*J1132</f>
        <v/>
      </c>
    </row>
    <row r="1133">
      <c r="A1133" s="25" t="inlineStr">
        <is>
          <t>ORD-10620</t>
        </is>
      </c>
      <c r="B1133" s="26" t="n">
        <v>46007</v>
      </c>
      <c r="C1133" s="25">
        <f>MONTH(B1133)</f>
        <v/>
      </c>
      <c r="D1133" s="25" t="inlineStr">
        <is>
          <t>North</t>
        </is>
      </c>
      <c r="E1133" s="25" t="inlineStr">
        <is>
          <t>Technology</t>
        </is>
      </c>
      <c r="F1133" s="25" t="inlineStr">
        <is>
          <t>Wireless Mouse</t>
        </is>
      </c>
      <c r="G1133" s="25" t="n">
        <v>4</v>
      </c>
      <c r="H1133" s="27" t="n">
        <v>1200</v>
      </c>
      <c r="I1133" s="28" t="n">
        <v>0.2</v>
      </c>
      <c r="J1133" s="27" t="n">
        <v>650</v>
      </c>
      <c r="K1133" s="27">
        <f>G1133*H1133*(1-I1133)</f>
        <v/>
      </c>
      <c r="L1133" s="27">
        <f>K1133-G1133*J1133</f>
        <v/>
      </c>
    </row>
    <row r="1134">
      <c r="A1134" s="25" t="inlineStr">
        <is>
          <t>ORD-11192</t>
        </is>
      </c>
      <c r="B1134" s="26" t="n">
        <v>46007</v>
      </c>
      <c r="C1134" s="25">
        <f>MONTH(B1134)</f>
        <v/>
      </c>
      <c r="D1134" s="25" t="inlineStr">
        <is>
          <t>North</t>
        </is>
      </c>
      <c r="E1134" s="25" t="inlineStr">
        <is>
          <t>Office Supplies</t>
        </is>
      </c>
      <c r="F1134" s="25" t="inlineStr">
        <is>
          <t>Notebook Set</t>
        </is>
      </c>
      <c r="G1134" s="25" t="n">
        <v>7</v>
      </c>
      <c r="H1134" s="27" t="n">
        <v>450</v>
      </c>
      <c r="I1134" s="28" t="n">
        <v>0</v>
      </c>
      <c r="J1134" s="27" t="n">
        <v>190</v>
      </c>
      <c r="K1134" s="27">
        <f>G1134*H1134*(1-I1134)</f>
        <v/>
      </c>
      <c r="L1134" s="27">
        <f>K1134-G1134*J1134</f>
        <v/>
      </c>
    </row>
    <row r="1135">
      <c r="A1135" s="25" t="inlineStr">
        <is>
          <t>ORD-10068</t>
        </is>
      </c>
      <c r="B1135" s="26" t="n">
        <v>46008</v>
      </c>
      <c r="C1135" s="25">
        <f>MONTH(B1135)</f>
        <v/>
      </c>
      <c r="D1135" s="25" t="inlineStr">
        <is>
          <t>North</t>
        </is>
      </c>
      <c r="E1135" s="25" t="inlineStr">
        <is>
          <t>Technology</t>
        </is>
      </c>
      <c r="F1135" s="25" t="inlineStr">
        <is>
          <t>Mechanical Keyboard</t>
        </is>
      </c>
      <c r="G1135" s="25" t="n">
        <v>1</v>
      </c>
      <c r="H1135" s="27" t="n">
        <v>4200</v>
      </c>
      <c r="I1135" s="28" t="n">
        <v>0</v>
      </c>
      <c r="J1135" s="27" t="n">
        <v>2500</v>
      </c>
      <c r="K1135" s="27">
        <f>G1135*H1135*(1-I1135)</f>
        <v/>
      </c>
      <c r="L1135" s="27">
        <f>K1135-G1135*J1135</f>
        <v/>
      </c>
    </row>
    <row r="1136">
      <c r="A1136" s="25" t="inlineStr">
        <is>
          <t>ORD-10076</t>
        </is>
      </c>
      <c r="B1136" s="26" t="n">
        <v>46008</v>
      </c>
      <c r="C1136" s="25">
        <f>MONTH(B1136)</f>
        <v/>
      </c>
      <c r="D1136" s="25" t="inlineStr">
        <is>
          <t>West</t>
        </is>
      </c>
      <c r="E1136" s="25" t="inlineStr">
        <is>
          <t>Technology</t>
        </is>
      </c>
      <c r="F1136" s="25" t="inlineStr">
        <is>
          <t>Wireless Mouse</t>
        </is>
      </c>
      <c r="G1136" s="25" t="n">
        <v>3</v>
      </c>
      <c r="H1136" s="27" t="n">
        <v>1200</v>
      </c>
      <c r="I1136" s="28" t="n">
        <v>0</v>
      </c>
      <c r="J1136" s="27" t="n">
        <v>650</v>
      </c>
      <c r="K1136" s="27">
        <f>G1136*H1136*(1-I1136)</f>
        <v/>
      </c>
      <c r="L1136" s="27">
        <f>K1136-G1136*J1136</f>
        <v/>
      </c>
    </row>
    <row r="1137">
      <c r="A1137" s="25" t="inlineStr">
        <is>
          <t>ORD-10308</t>
        </is>
      </c>
      <c r="B1137" s="26" t="n">
        <v>46008</v>
      </c>
      <c r="C1137" s="25">
        <f>MONTH(B1137)</f>
        <v/>
      </c>
      <c r="D1137" s="25" t="inlineStr">
        <is>
          <t>South</t>
        </is>
      </c>
      <c r="E1137" s="25" t="inlineStr">
        <is>
          <t>Accessories</t>
        </is>
      </c>
      <c r="F1137" s="25" t="inlineStr">
        <is>
          <t>Webcam</t>
        </is>
      </c>
      <c r="G1137" s="25" t="n">
        <v>1</v>
      </c>
      <c r="H1137" s="27" t="n">
        <v>3200</v>
      </c>
      <c r="I1137" s="28" t="n">
        <v>0</v>
      </c>
      <c r="J1137" s="27" t="n">
        <v>1900</v>
      </c>
      <c r="K1137" s="27">
        <f>G1137*H1137*(1-I1137)</f>
        <v/>
      </c>
      <c r="L1137" s="27">
        <f>K1137-G1137*J1137</f>
        <v/>
      </c>
    </row>
    <row r="1138">
      <c r="A1138" s="25" t="inlineStr">
        <is>
          <t>ORD-10343</t>
        </is>
      </c>
      <c r="B1138" s="26" t="n">
        <v>46008</v>
      </c>
      <c r="C1138" s="25">
        <f>MONTH(B1138)</f>
        <v/>
      </c>
      <c r="D1138" s="25" t="inlineStr">
        <is>
          <t>South</t>
        </is>
      </c>
      <c r="E1138" s="25" t="inlineStr">
        <is>
          <t>Office Supplies</t>
        </is>
      </c>
      <c r="F1138" s="25" t="inlineStr">
        <is>
          <t>Printer Paper Box</t>
        </is>
      </c>
      <c r="G1138" s="25" t="n">
        <v>1</v>
      </c>
      <c r="H1138" s="27" t="n">
        <v>1600</v>
      </c>
      <c r="I1138" s="28" t="n">
        <v>0.1</v>
      </c>
      <c r="J1138" s="27" t="n">
        <v>1050</v>
      </c>
      <c r="K1138" s="27">
        <f>G1138*H1138*(1-I1138)</f>
        <v/>
      </c>
      <c r="L1138" s="27">
        <f>K1138-G1138*J1138</f>
        <v/>
      </c>
    </row>
    <row r="1139">
      <c r="A1139" s="25" t="inlineStr">
        <is>
          <t>ORD-10404</t>
        </is>
      </c>
      <c r="B1139" s="26" t="n">
        <v>46008</v>
      </c>
      <c r="C1139" s="25">
        <f>MONTH(B1139)</f>
        <v/>
      </c>
      <c r="D1139" s="25" t="inlineStr">
        <is>
          <t>North</t>
        </is>
      </c>
      <c r="E1139" s="25" t="inlineStr">
        <is>
          <t>Accessories</t>
        </is>
      </c>
      <c r="F1139" s="25" t="inlineStr">
        <is>
          <t>Headphones</t>
        </is>
      </c>
      <c r="G1139" s="25" t="n">
        <v>1</v>
      </c>
      <c r="H1139" s="27" t="n">
        <v>4500</v>
      </c>
      <c r="I1139" s="28" t="n">
        <v>0.15</v>
      </c>
      <c r="J1139" s="27" t="n">
        <v>2600</v>
      </c>
      <c r="K1139" s="27">
        <f>G1139*H1139*(1-I1139)</f>
        <v/>
      </c>
      <c r="L1139" s="27">
        <f>K1139-G1139*J1139</f>
        <v/>
      </c>
    </row>
    <row r="1140">
      <c r="A1140" s="25" t="inlineStr">
        <is>
          <t>ORD-10467</t>
        </is>
      </c>
      <c r="B1140" s="26" t="n">
        <v>46008</v>
      </c>
      <c r="C1140" s="25">
        <f>MONTH(B1140)</f>
        <v/>
      </c>
      <c r="D1140" s="25" t="inlineStr">
        <is>
          <t>West</t>
        </is>
      </c>
      <c r="E1140" s="25" t="inlineStr">
        <is>
          <t>Office Supplies</t>
        </is>
      </c>
      <c r="F1140" s="25" t="inlineStr">
        <is>
          <t>Notebook Set</t>
        </is>
      </c>
      <c r="G1140" s="25" t="n">
        <v>6</v>
      </c>
      <c r="H1140" s="27" t="n">
        <v>450</v>
      </c>
      <c r="I1140" s="28" t="n">
        <v>0</v>
      </c>
      <c r="J1140" s="27" t="n">
        <v>190</v>
      </c>
      <c r="K1140" s="27">
        <f>G1140*H1140*(1-I1140)</f>
        <v/>
      </c>
      <c r="L1140" s="27">
        <f>K1140-G1140*J1140</f>
        <v/>
      </c>
    </row>
    <row r="1141">
      <c r="A1141" s="25" t="inlineStr">
        <is>
          <t>ORD-10553</t>
        </is>
      </c>
      <c r="B1141" s="26" t="n">
        <v>46008</v>
      </c>
      <c r="C1141" s="25">
        <f>MONTH(B1141)</f>
        <v/>
      </c>
      <c r="D1141" s="25" t="inlineStr">
        <is>
          <t>South</t>
        </is>
      </c>
      <c r="E1141" s="25" t="inlineStr">
        <is>
          <t>Technology</t>
        </is>
      </c>
      <c r="F1141" s="25" t="inlineStr">
        <is>
          <t>Wireless Mouse</t>
        </is>
      </c>
      <c r="G1141" s="25" t="n">
        <v>3</v>
      </c>
      <c r="H1141" s="27" t="n">
        <v>1200</v>
      </c>
      <c r="I1141" s="28" t="n">
        <v>0</v>
      </c>
      <c r="J1141" s="27" t="n">
        <v>650</v>
      </c>
      <c r="K1141" s="27">
        <f>G1141*H1141*(1-I1141)</f>
        <v/>
      </c>
      <c r="L1141" s="27">
        <f>K1141-G1141*J1141</f>
        <v/>
      </c>
    </row>
    <row r="1142">
      <c r="A1142" s="25" t="inlineStr">
        <is>
          <t>ORD-10820</t>
        </is>
      </c>
      <c r="B1142" s="26" t="n">
        <v>46008</v>
      </c>
      <c r="C1142" s="25">
        <f>MONTH(B1142)</f>
        <v/>
      </c>
      <c r="D1142" s="25" t="inlineStr">
        <is>
          <t>North</t>
        </is>
      </c>
      <c r="E1142" s="25" t="inlineStr">
        <is>
          <t>Accessories</t>
        </is>
      </c>
      <c r="F1142" s="25" t="inlineStr">
        <is>
          <t>Headphones</t>
        </is>
      </c>
      <c r="G1142" s="25" t="n">
        <v>1</v>
      </c>
      <c r="H1142" s="27" t="n">
        <v>4500</v>
      </c>
      <c r="I1142" s="28" t="n">
        <v>0.15</v>
      </c>
      <c r="J1142" s="27" t="n">
        <v>2600</v>
      </c>
      <c r="K1142" s="27">
        <f>G1142*H1142*(1-I1142)</f>
        <v/>
      </c>
      <c r="L1142" s="27">
        <f>K1142-G1142*J1142</f>
        <v/>
      </c>
    </row>
    <row r="1143">
      <c r="A1143" s="25" t="inlineStr">
        <is>
          <t>ORD-10851</t>
        </is>
      </c>
      <c r="B1143" s="26" t="n">
        <v>46008</v>
      </c>
      <c r="C1143" s="25">
        <f>MONTH(B1143)</f>
        <v/>
      </c>
      <c r="D1143" s="25" t="inlineStr">
        <is>
          <t>South</t>
        </is>
      </c>
      <c r="E1143" s="25" t="inlineStr">
        <is>
          <t>Office Supplies</t>
        </is>
      </c>
      <c r="F1143" s="25" t="inlineStr">
        <is>
          <t>Notebook Set</t>
        </is>
      </c>
      <c r="G1143" s="25" t="n">
        <v>6</v>
      </c>
      <c r="H1143" s="27" t="n">
        <v>450</v>
      </c>
      <c r="I1143" s="28" t="n">
        <v>0.15</v>
      </c>
      <c r="J1143" s="27" t="n">
        <v>190</v>
      </c>
      <c r="K1143" s="27">
        <f>G1143*H1143*(1-I1143)</f>
        <v/>
      </c>
      <c r="L1143" s="27">
        <f>K1143-G1143*J1143</f>
        <v/>
      </c>
    </row>
    <row r="1144">
      <c r="A1144" s="25" t="inlineStr">
        <is>
          <t>ORD-10916</t>
        </is>
      </c>
      <c r="B1144" s="26" t="n">
        <v>46008</v>
      </c>
      <c r="C1144" s="25">
        <f>MONTH(B1144)</f>
        <v/>
      </c>
      <c r="D1144" s="25" t="inlineStr">
        <is>
          <t>West</t>
        </is>
      </c>
      <c r="E1144" s="25" t="inlineStr">
        <is>
          <t>Office Supplies</t>
        </is>
      </c>
      <c r="F1144" s="25" t="inlineStr">
        <is>
          <t>Printer Paper Box</t>
        </is>
      </c>
      <c r="G1144" s="25" t="n">
        <v>4</v>
      </c>
      <c r="H1144" s="27" t="n">
        <v>1600</v>
      </c>
      <c r="I1144" s="28" t="n">
        <v>0</v>
      </c>
      <c r="J1144" s="27" t="n">
        <v>1050</v>
      </c>
      <c r="K1144" s="27">
        <f>G1144*H1144*(1-I1144)</f>
        <v/>
      </c>
      <c r="L1144" s="27">
        <f>K1144-G1144*J1144</f>
        <v/>
      </c>
    </row>
    <row r="1145">
      <c r="A1145" s="25" t="inlineStr">
        <is>
          <t>ORD-10129</t>
        </is>
      </c>
      <c r="B1145" s="26" t="n">
        <v>46009</v>
      </c>
      <c r="C1145" s="25">
        <f>MONTH(B1145)</f>
        <v/>
      </c>
      <c r="D1145" s="25" t="inlineStr">
        <is>
          <t>West</t>
        </is>
      </c>
      <c r="E1145" s="25" t="inlineStr">
        <is>
          <t>Office Supplies</t>
        </is>
      </c>
      <c r="F1145" s="25" t="inlineStr">
        <is>
          <t>Desk Organizer</t>
        </is>
      </c>
      <c r="G1145" s="25" t="n">
        <v>4</v>
      </c>
      <c r="H1145" s="27" t="n">
        <v>850</v>
      </c>
      <c r="I1145" s="28" t="n">
        <v>0</v>
      </c>
      <c r="J1145" s="27" t="n">
        <v>420</v>
      </c>
      <c r="K1145" s="27">
        <f>G1145*H1145*(1-I1145)</f>
        <v/>
      </c>
      <c r="L1145" s="27">
        <f>K1145-G1145*J1145</f>
        <v/>
      </c>
    </row>
    <row r="1146">
      <c r="A1146" s="25" t="inlineStr">
        <is>
          <t>ORD-10499</t>
        </is>
      </c>
      <c r="B1146" s="26" t="n">
        <v>46009</v>
      </c>
      <c r="C1146" s="25">
        <f>MONTH(B1146)</f>
        <v/>
      </c>
      <c r="D1146" s="25" t="inlineStr">
        <is>
          <t>East</t>
        </is>
      </c>
      <c r="E1146" s="25" t="inlineStr">
        <is>
          <t>Furniture</t>
        </is>
      </c>
      <c r="F1146" s="25" t="inlineStr">
        <is>
          <t>Bookshelf</t>
        </is>
      </c>
      <c r="G1146" s="25" t="n">
        <v>1</v>
      </c>
      <c r="H1146" s="27" t="n">
        <v>6200</v>
      </c>
      <c r="I1146" s="28" t="n">
        <v>0.1</v>
      </c>
      <c r="J1146" s="27" t="n">
        <v>4100</v>
      </c>
      <c r="K1146" s="27">
        <f>G1146*H1146*(1-I1146)</f>
        <v/>
      </c>
      <c r="L1146" s="27">
        <f>K1146-G1146*J1146</f>
        <v/>
      </c>
    </row>
    <row r="1147">
      <c r="A1147" s="25" t="inlineStr">
        <is>
          <t>ORD-10526</t>
        </is>
      </c>
      <c r="B1147" s="26" t="n">
        <v>46009</v>
      </c>
      <c r="C1147" s="25">
        <f>MONTH(B1147)</f>
        <v/>
      </c>
      <c r="D1147" s="25" t="inlineStr">
        <is>
          <t>North</t>
        </is>
      </c>
      <c r="E1147" s="25" t="inlineStr">
        <is>
          <t>Office Supplies</t>
        </is>
      </c>
      <c r="F1147" s="25" t="inlineStr">
        <is>
          <t>Notebook Set</t>
        </is>
      </c>
      <c r="G1147" s="25" t="n">
        <v>5</v>
      </c>
      <c r="H1147" s="27" t="n">
        <v>450</v>
      </c>
      <c r="I1147" s="28" t="n">
        <v>0.05</v>
      </c>
      <c r="J1147" s="27" t="n">
        <v>190</v>
      </c>
      <c r="K1147" s="27">
        <f>G1147*H1147*(1-I1147)</f>
        <v/>
      </c>
      <c r="L1147" s="27">
        <f>K1147-G1147*J1147</f>
        <v/>
      </c>
    </row>
    <row r="1148">
      <c r="A1148" s="25" t="inlineStr">
        <is>
          <t>ORD-10616</t>
        </is>
      </c>
      <c r="B1148" s="26" t="n">
        <v>46009</v>
      </c>
      <c r="C1148" s="25">
        <f>MONTH(B1148)</f>
        <v/>
      </c>
      <c r="D1148" s="25" t="inlineStr">
        <is>
          <t>South</t>
        </is>
      </c>
      <c r="E1148" s="25" t="inlineStr">
        <is>
          <t>Technology</t>
        </is>
      </c>
      <c r="F1148" s="25" t="inlineStr">
        <is>
          <t>Wireless Mouse</t>
        </is>
      </c>
      <c r="G1148" s="25" t="n">
        <v>5</v>
      </c>
      <c r="H1148" s="27" t="n">
        <v>1200</v>
      </c>
      <c r="I1148" s="28" t="n">
        <v>0.15</v>
      </c>
      <c r="J1148" s="27" t="n">
        <v>650</v>
      </c>
      <c r="K1148" s="27">
        <f>G1148*H1148*(1-I1148)</f>
        <v/>
      </c>
      <c r="L1148" s="27">
        <f>K1148-G1148*J1148</f>
        <v/>
      </c>
    </row>
    <row r="1149">
      <c r="A1149" s="25" t="inlineStr">
        <is>
          <t>ORD-10809</t>
        </is>
      </c>
      <c r="B1149" s="26" t="n">
        <v>46009</v>
      </c>
      <c r="C1149" s="25">
        <f>MONTH(B1149)</f>
        <v/>
      </c>
      <c r="D1149" s="25" t="inlineStr">
        <is>
          <t>South</t>
        </is>
      </c>
      <c r="E1149" s="25" t="inlineStr">
        <is>
          <t>Office Supplies</t>
        </is>
      </c>
      <c r="F1149" s="25" t="inlineStr">
        <is>
          <t>Printer Paper Box</t>
        </is>
      </c>
      <c r="G1149" s="25" t="n">
        <v>4</v>
      </c>
      <c r="H1149" s="27" t="n">
        <v>1600</v>
      </c>
      <c r="I1149" s="28" t="n">
        <v>0</v>
      </c>
      <c r="J1149" s="27" t="n">
        <v>1050</v>
      </c>
      <c r="K1149" s="27">
        <f>G1149*H1149*(1-I1149)</f>
        <v/>
      </c>
      <c r="L1149" s="27">
        <f>K1149-G1149*J1149</f>
        <v/>
      </c>
    </row>
    <row r="1150">
      <c r="A1150" s="25" t="inlineStr">
        <is>
          <t>ORD-10545</t>
        </is>
      </c>
      <c r="B1150" s="26" t="n">
        <v>46010</v>
      </c>
      <c r="C1150" s="25">
        <f>MONTH(B1150)</f>
        <v/>
      </c>
      <c r="D1150" s="25" t="inlineStr">
        <is>
          <t>West</t>
        </is>
      </c>
      <c r="E1150" s="25" t="inlineStr">
        <is>
          <t>Technology</t>
        </is>
      </c>
      <c r="F1150" s="25" t="inlineStr">
        <is>
          <t>Wireless Mouse</t>
        </is>
      </c>
      <c r="G1150" s="25" t="n">
        <v>5</v>
      </c>
      <c r="H1150" s="27" t="n">
        <v>1200</v>
      </c>
      <c r="I1150" s="28" t="n">
        <v>0</v>
      </c>
      <c r="J1150" s="27" t="n">
        <v>650</v>
      </c>
      <c r="K1150" s="27">
        <f>G1150*H1150*(1-I1150)</f>
        <v/>
      </c>
      <c r="L1150" s="27">
        <f>K1150-G1150*J1150</f>
        <v/>
      </c>
    </row>
    <row r="1151">
      <c r="A1151" s="25" t="inlineStr">
        <is>
          <t>ORD-10734</t>
        </is>
      </c>
      <c r="B1151" s="26" t="n">
        <v>46010</v>
      </c>
      <c r="C1151" s="25">
        <f>MONTH(B1151)</f>
        <v/>
      </c>
      <c r="D1151" s="25" t="inlineStr">
        <is>
          <t>East</t>
        </is>
      </c>
      <c r="E1151" s="25" t="inlineStr">
        <is>
          <t>Office Supplies</t>
        </is>
      </c>
      <c r="F1151" s="25" t="inlineStr">
        <is>
          <t>Notebook Set</t>
        </is>
      </c>
      <c r="G1151" s="25" t="n">
        <v>6</v>
      </c>
      <c r="H1151" s="27" t="n">
        <v>450</v>
      </c>
      <c r="I1151" s="28" t="n">
        <v>0.05</v>
      </c>
      <c r="J1151" s="27" t="n">
        <v>190</v>
      </c>
      <c r="K1151" s="27">
        <f>G1151*H1151*(1-I1151)</f>
        <v/>
      </c>
      <c r="L1151" s="27">
        <f>K1151-G1151*J1151</f>
        <v/>
      </c>
    </row>
    <row r="1152">
      <c r="A1152" s="25" t="inlineStr">
        <is>
          <t>ORD-10507</t>
        </is>
      </c>
      <c r="B1152" s="26" t="n">
        <v>46011</v>
      </c>
      <c r="C1152" s="25">
        <f>MONTH(B1152)</f>
        <v/>
      </c>
      <c r="D1152" s="25" t="inlineStr">
        <is>
          <t>South</t>
        </is>
      </c>
      <c r="E1152" s="25" t="inlineStr">
        <is>
          <t>Furniture</t>
        </is>
      </c>
      <c r="F1152" s="25" t="inlineStr">
        <is>
          <t>Office Chair</t>
        </is>
      </c>
      <c r="G1152" s="25" t="n">
        <v>2</v>
      </c>
      <c r="H1152" s="27" t="n">
        <v>8500</v>
      </c>
      <c r="I1152" s="28" t="n">
        <v>0</v>
      </c>
      <c r="J1152" s="27" t="n">
        <v>5600</v>
      </c>
      <c r="K1152" s="27">
        <f>G1152*H1152*(1-I1152)</f>
        <v/>
      </c>
      <c r="L1152" s="27">
        <f>K1152-G1152*J1152</f>
        <v/>
      </c>
    </row>
    <row r="1153">
      <c r="A1153" s="25" t="inlineStr">
        <is>
          <t>ORD-10122</t>
        </is>
      </c>
      <c r="B1153" s="26" t="n">
        <v>46012</v>
      </c>
      <c r="C1153" s="25">
        <f>MONTH(B1153)</f>
        <v/>
      </c>
      <c r="D1153" s="25" t="inlineStr">
        <is>
          <t>South</t>
        </is>
      </c>
      <c r="E1153" s="25" t="inlineStr">
        <is>
          <t>Technology</t>
        </is>
      </c>
      <c r="F1153" s="25" t="inlineStr">
        <is>
          <t>Monitor 24"</t>
        </is>
      </c>
      <c r="G1153" s="25" t="n">
        <v>1</v>
      </c>
      <c r="H1153" s="27" t="n">
        <v>11500</v>
      </c>
      <c r="I1153" s="28" t="n">
        <v>0.15</v>
      </c>
      <c r="J1153" s="27" t="n">
        <v>8200</v>
      </c>
      <c r="K1153" s="27">
        <f>G1153*H1153*(1-I1153)</f>
        <v/>
      </c>
      <c r="L1153" s="27">
        <f>K1153-G1153*J1153</f>
        <v/>
      </c>
    </row>
    <row r="1154">
      <c r="A1154" s="25" t="inlineStr">
        <is>
          <t>ORD-10250</t>
        </is>
      </c>
      <c r="B1154" s="26" t="n">
        <v>46012</v>
      </c>
      <c r="C1154" s="25">
        <f>MONTH(B1154)</f>
        <v/>
      </c>
      <c r="D1154" s="25" t="inlineStr">
        <is>
          <t>West</t>
        </is>
      </c>
      <c r="E1154" s="25" t="inlineStr">
        <is>
          <t>Accessories</t>
        </is>
      </c>
      <c r="F1154" s="25" t="inlineStr">
        <is>
          <t>Headphones</t>
        </is>
      </c>
      <c r="G1154" s="25" t="n">
        <v>3</v>
      </c>
      <c r="H1154" s="27" t="n">
        <v>4500</v>
      </c>
      <c r="I1154" s="28" t="n">
        <v>0.2</v>
      </c>
      <c r="J1154" s="27" t="n">
        <v>2600</v>
      </c>
      <c r="K1154" s="27">
        <f>G1154*H1154*(1-I1154)</f>
        <v/>
      </c>
      <c r="L1154" s="27">
        <f>K1154-G1154*J1154</f>
        <v/>
      </c>
    </row>
    <row r="1155">
      <c r="A1155" s="25" t="inlineStr">
        <is>
          <t>ORD-10561</t>
        </is>
      </c>
      <c r="B1155" s="26" t="n">
        <v>46012</v>
      </c>
      <c r="C1155" s="25">
        <f>MONTH(B1155)</f>
        <v/>
      </c>
      <c r="D1155" s="25" t="inlineStr">
        <is>
          <t>East</t>
        </is>
      </c>
      <c r="E1155" s="25" t="inlineStr">
        <is>
          <t>Accessories</t>
        </is>
      </c>
      <c r="F1155" s="25" t="inlineStr">
        <is>
          <t>Headphones</t>
        </is>
      </c>
      <c r="G1155" s="25" t="n">
        <v>2</v>
      </c>
      <c r="H1155" s="27" t="n">
        <v>4500</v>
      </c>
      <c r="I1155" s="28" t="n">
        <v>0.1</v>
      </c>
      <c r="J1155" s="27" t="n">
        <v>2600</v>
      </c>
      <c r="K1155" s="27">
        <f>G1155*H1155*(1-I1155)</f>
        <v/>
      </c>
      <c r="L1155" s="27">
        <f>K1155-G1155*J1155</f>
        <v/>
      </c>
    </row>
    <row r="1156">
      <c r="A1156" s="25" t="inlineStr">
        <is>
          <t>ORD-10675</t>
        </is>
      </c>
      <c r="B1156" s="26" t="n">
        <v>46012</v>
      </c>
      <c r="C1156" s="25">
        <f>MONTH(B1156)</f>
        <v/>
      </c>
      <c r="D1156" s="25" t="inlineStr">
        <is>
          <t>South</t>
        </is>
      </c>
      <c r="E1156" s="25" t="inlineStr">
        <is>
          <t>Furniture</t>
        </is>
      </c>
      <c r="F1156" s="25" t="inlineStr">
        <is>
          <t>Office Chair</t>
        </is>
      </c>
      <c r="G1156" s="25" t="n">
        <v>2</v>
      </c>
      <c r="H1156" s="27" t="n">
        <v>8500</v>
      </c>
      <c r="I1156" s="28" t="n">
        <v>0</v>
      </c>
      <c r="J1156" s="27" t="n">
        <v>5600</v>
      </c>
      <c r="K1156" s="27">
        <f>G1156*H1156*(1-I1156)</f>
        <v/>
      </c>
      <c r="L1156" s="27">
        <f>K1156-G1156*J1156</f>
        <v/>
      </c>
    </row>
    <row r="1157">
      <c r="A1157" s="25" t="inlineStr">
        <is>
          <t>ORD-11158</t>
        </is>
      </c>
      <c r="B1157" s="26" t="n">
        <v>46012</v>
      </c>
      <c r="C1157" s="25">
        <f>MONTH(B1157)</f>
        <v/>
      </c>
      <c r="D1157" s="25" t="inlineStr">
        <is>
          <t>South</t>
        </is>
      </c>
      <c r="E1157" s="25" t="inlineStr">
        <is>
          <t>Furniture</t>
        </is>
      </c>
      <c r="F1157" s="25" t="inlineStr">
        <is>
          <t>Bookshelf</t>
        </is>
      </c>
      <c r="G1157" s="25" t="n">
        <v>2</v>
      </c>
      <c r="H1157" s="27" t="n">
        <v>6200</v>
      </c>
      <c r="I1157" s="28" t="n">
        <v>0</v>
      </c>
      <c r="J1157" s="27" t="n">
        <v>4100</v>
      </c>
      <c r="K1157" s="27">
        <f>G1157*H1157*(1-I1157)</f>
        <v/>
      </c>
      <c r="L1157" s="27">
        <f>K1157-G1157*J1157</f>
        <v/>
      </c>
    </row>
    <row r="1158">
      <c r="A1158" s="25" t="inlineStr">
        <is>
          <t>ORD-10018</t>
        </is>
      </c>
      <c r="B1158" s="26" t="n">
        <v>46013</v>
      </c>
      <c r="C1158" s="25">
        <f>MONTH(B1158)</f>
        <v/>
      </c>
      <c r="D1158" s="25" t="inlineStr">
        <is>
          <t>South</t>
        </is>
      </c>
      <c r="E1158" s="25" t="inlineStr">
        <is>
          <t>Accessories</t>
        </is>
      </c>
      <c r="F1158" s="25" t="inlineStr">
        <is>
          <t>USB-C Hub</t>
        </is>
      </c>
      <c r="G1158" s="25" t="n">
        <v>1</v>
      </c>
      <c r="H1158" s="27" t="n">
        <v>1800</v>
      </c>
      <c r="I1158" s="28" t="n">
        <v>0</v>
      </c>
      <c r="J1158" s="27" t="n">
        <v>980</v>
      </c>
      <c r="K1158" s="27">
        <f>G1158*H1158*(1-I1158)</f>
        <v/>
      </c>
      <c r="L1158" s="27">
        <f>K1158-G1158*J1158</f>
        <v/>
      </c>
    </row>
    <row r="1159">
      <c r="A1159" s="25" t="inlineStr">
        <is>
          <t>ORD-10053</t>
        </is>
      </c>
      <c r="B1159" s="26" t="n">
        <v>46013</v>
      </c>
      <c r="C1159" s="25">
        <f>MONTH(B1159)</f>
        <v/>
      </c>
      <c r="D1159" s="25" t="inlineStr">
        <is>
          <t>South</t>
        </is>
      </c>
      <c r="E1159" s="25" t="inlineStr">
        <is>
          <t>Technology</t>
        </is>
      </c>
      <c r="F1159" s="25" t="inlineStr">
        <is>
          <t>Wireless Mouse</t>
        </is>
      </c>
      <c r="G1159" s="25" t="n">
        <v>4</v>
      </c>
      <c r="H1159" s="27" t="n">
        <v>1200</v>
      </c>
      <c r="I1159" s="28" t="n">
        <v>0.1</v>
      </c>
      <c r="J1159" s="27" t="n">
        <v>650</v>
      </c>
      <c r="K1159" s="27">
        <f>G1159*H1159*(1-I1159)</f>
        <v/>
      </c>
      <c r="L1159" s="27">
        <f>K1159-G1159*J1159</f>
        <v/>
      </c>
    </row>
    <row r="1160">
      <c r="A1160" s="25" t="inlineStr">
        <is>
          <t>ORD-10380</t>
        </is>
      </c>
      <c r="B1160" s="26" t="n">
        <v>46013</v>
      </c>
      <c r="C1160" s="25">
        <f>MONTH(B1160)</f>
        <v/>
      </c>
      <c r="D1160" s="25" t="inlineStr">
        <is>
          <t>North</t>
        </is>
      </c>
      <c r="E1160" s="25" t="inlineStr">
        <is>
          <t>Accessories</t>
        </is>
      </c>
      <c r="F1160" s="25" t="inlineStr">
        <is>
          <t>USB-C Hub</t>
        </is>
      </c>
      <c r="G1160" s="25" t="n">
        <v>1</v>
      </c>
      <c r="H1160" s="27" t="n">
        <v>1800</v>
      </c>
      <c r="I1160" s="28" t="n">
        <v>0.1</v>
      </c>
      <c r="J1160" s="27" t="n">
        <v>980</v>
      </c>
      <c r="K1160" s="27">
        <f>G1160*H1160*(1-I1160)</f>
        <v/>
      </c>
      <c r="L1160" s="27">
        <f>K1160-G1160*J1160</f>
        <v/>
      </c>
    </row>
    <row r="1161">
      <c r="A1161" s="25" t="inlineStr">
        <is>
          <t>ORD-10527</t>
        </is>
      </c>
      <c r="B1161" s="26" t="n">
        <v>46013</v>
      </c>
      <c r="C1161" s="25">
        <f>MONTH(B1161)</f>
        <v/>
      </c>
      <c r="D1161" s="25" t="inlineStr">
        <is>
          <t>West</t>
        </is>
      </c>
      <c r="E1161" s="25" t="inlineStr">
        <is>
          <t>Accessories</t>
        </is>
      </c>
      <c r="F1161" s="25" t="inlineStr">
        <is>
          <t>USB-C Hub</t>
        </is>
      </c>
      <c r="G1161" s="25" t="n">
        <v>4</v>
      </c>
      <c r="H1161" s="27" t="n">
        <v>1800</v>
      </c>
      <c r="I1161" s="28" t="n">
        <v>0.15</v>
      </c>
      <c r="J1161" s="27" t="n">
        <v>980</v>
      </c>
      <c r="K1161" s="27">
        <f>G1161*H1161*(1-I1161)</f>
        <v/>
      </c>
      <c r="L1161" s="27">
        <f>K1161-G1161*J1161</f>
        <v/>
      </c>
    </row>
    <row r="1162">
      <c r="A1162" s="25" t="inlineStr">
        <is>
          <t>ORD-10959</t>
        </is>
      </c>
      <c r="B1162" s="26" t="n">
        <v>46013</v>
      </c>
      <c r="C1162" s="25">
        <f>MONTH(B1162)</f>
        <v/>
      </c>
      <c r="D1162" s="25" t="inlineStr">
        <is>
          <t>West</t>
        </is>
      </c>
      <c r="E1162" s="25" t="inlineStr">
        <is>
          <t>Office Supplies</t>
        </is>
      </c>
      <c r="F1162" s="25" t="inlineStr">
        <is>
          <t>Printer Paper Box</t>
        </is>
      </c>
      <c r="G1162" s="25" t="n">
        <v>3</v>
      </c>
      <c r="H1162" s="27" t="n">
        <v>1600</v>
      </c>
      <c r="I1162" s="28" t="n">
        <v>0.05</v>
      </c>
      <c r="J1162" s="27" t="n">
        <v>1050</v>
      </c>
      <c r="K1162" s="27">
        <f>G1162*H1162*(1-I1162)</f>
        <v/>
      </c>
      <c r="L1162" s="27">
        <f>K1162-G1162*J1162</f>
        <v/>
      </c>
    </row>
    <row r="1163">
      <c r="A1163" s="25" t="inlineStr">
        <is>
          <t>ORD-10695</t>
        </is>
      </c>
      <c r="B1163" s="26" t="n">
        <v>46014</v>
      </c>
      <c r="C1163" s="25">
        <f>MONTH(B1163)</f>
        <v/>
      </c>
      <c r="D1163" s="25" t="inlineStr">
        <is>
          <t>North</t>
        </is>
      </c>
      <c r="E1163" s="25" t="inlineStr">
        <is>
          <t>Office Supplies</t>
        </is>
      </c>
      <c r="F1163" s="25" t="inlineStr">
        <is>
          <t>Notebook Set</t>
        </is>
      </c>
      <c r="G1163" s="25" t="n">
        <v>8</v>
      </c>
      <c r="H1163" s="27" t="n">
        <v>450</v>
      </c>
      <c r="I1163" s="28" t="n">
        <v>0.1</v>
      </c>
      <c r="J1163" s="27" t="n">
        <v>190</v>
      </c>
      <c r="K1163" s="27">
        <f>G1163*H1163*(1-I1163)</f>
        <v/>
      </c>
      <c r="L1163" s="27">
        <f>K1163-G1163*J1163</f>
        <v/>
      </c>
    </row>
    <row r="1164">
      <c r="A1164" s="25" t="inlineStr">
        <is>
          <t>ORD-10773</t>
        </is>
      </c>
      <c r="B1164" s="26" t="n">
        <v>46014</v>
      </c>
      <c r="C1164" s="25">
        <f>MONTH(B1164)</f>
        <v/>
      </c>
      <c r="D1164" s="25" t="inlineStr">
        <is>
          <t>North</t>
        </is>
      </c>
      <c r="E1164" s="25" t="inlineStr">
        <is>
          <t>Office Supplies</t>
        </is>
      </c>
      <c r="F1164" s="25" t="inlineStr">
        <is>
          <t>Notebook Set</t>
        </is>
      </c>
      <c r="G1164" s="25" t="n">
        <v>1</v>
      </c>
      <c r="H1164" s="27" t="n">
        <v>450</v>
      </c>
      <c r="I1164" s="28" t="n">
        <v>0.05</v>
      </c>
      <c r="J1164" s="27" t="n">
        <v>190</v>
      </c>
      <c r="K1164" s="27">
        <f>G1164*H1164*(1-I1164)</f>
        <v/>
      </c>
      <c r="L1164" s="27">
        <f>K1164-G1164*J1164</f>
        <v/>
      </c>
    </row>
    <row r="1165">
      <c r="A1165" s="25" t="inlineStr">
        <is>
          <t>ORD-10180</t>
        </is>
      </c>
      <c r="B1165" s="26" t="n">
        <v>46015</v>
      </c>
      <c r="C1165" s="25">
        <f>MONTH(B1165)</f>
        <v/>
      </c>
      <c r="D1165" s="25" t="inlineStr">
        <is>
          <t>South</t>
        </is>
      </c>
      <c r="E1165" s="25" t="inlineStr">
        <is>
          <t>Office Supplies</t>
        </is>
      </c>
      <c r="F1165" s="25" t="inlineStr">
        <is>
          <t>Printer Paper Box</t>
        </is>
      </c>
      <c r="G1165" s="25" t="n">
        <v>5</v>
      </c>
      <c r="H1165" s="27" t="n">
        <v>1600</v>
      </c>
      <c r="I1165" s="28" t="n">
        <v>0.1</v>
      </c>
      <c r="J1165" s="27" t="n">
        <v>1050</v>
      </c>
      <c r="K1165" s="27">
        <f>G1165*H1165*(1-I1165)</f>
        <v/>
      </c>
      <c r="L1165" s="27">
        <f>K1165-G1165*J1165</f>
        <v/>
      </c>
    </row>
    <row r="1166">
      <c r="A1166" s="25" t="inlineStr">
        <is>
          <t>ORD-10183</t>
        </is>
      </c>
      <c r="B1166" s="26" t="n">
        <v>46015</v>
      </c>
      <c r="C1166" s="25">
        <f>MONTH(B1166)</f>
        <v/>
      </c>
      <c r="D1166" s="25" t="inlineStr">
        <is>
          <t>North</t>
        </is>
      </c>
      <c r="E1166" s="25" t="inlineStr">
        <is>
          <t>Technology</t>
        </is>
      </c>
      <c r="F1166" s="25" t="inlineStr">
        <is>
          <t>Monitor 24"</t>
        </is>
      </c>
      <c r="G1166" s="25" t="n">
        <v>1</v>
      </c>
      <c r="H1166" s="27" t="n">
        <v>11500</v>
      </c>
      <c r="I1166" s="28" t="n">
        <v>0</v>
      </c>
      <c r="J1166" s="27" t="n">
        <v>8200</v>
      </c>
      <c r="K1166" s="27">
        <f>G1166*H1166*(1-I1166)</f>
        <v/>
      </c>
      <c r="L1166" s="27">
        <f>K1166-G1166*J1166</f>
        <v/>
      </c>
    </row>
    <row r="1167">
      <c r="A1167" s="25" t="inlineStr">
        <is>
          <t>ORD-11117</t>
        </is>
      </c>
      <c r="B1167" s="26" t="n">
        <v>46015</v>
      </c>
      <c r="C1167" s="25">
        <f>MONTH(B1167)</f>
        <v/>
      </c>
      <c r="D1167" s="25" t="inlineStr">
        <is>
          <t>South</t>
        </is>
      </c>
      <c r="E1167" s="25" t="inlineStr">
        <is>
          <t>Accessories</t>
        </is>
      </c>
      <c r="F1167" s="25" t="inlineStr">
        <is>
          <t>USB-C Hub</t>
        </is>
      </c>
      <c r="G1167" s="25" t="n">
        <v>3</v>
      </c>
      <c r="H1167" s="27" t="n">
        <v>1800</v>
      </c>
      <c r="I1167" s="28" t="n">
        <v>0</v>
      </c>
      <c r="J1167" s="27" t="n">
        <v>980</v>
      </c>
      <c r="K1167" s="27">
        <f>G1167*H1167*(1-I1167)</f>
        <v/>
      </c>
      <c r="L1167" s="27">
        <f>K1167-G1167*J1167</f>
        <v/>
      </c>
    </row>
    <row r="1168">
      <c r="A1168" s="25" t="inlineStr">
        <is>
          <t>ORD-10340</t>
        </is>
      </c>
      <c r="B1168" s="26" t="n">
        <v>46016</v>
      </c>
      <c r="C1168" s="25">
        <f>MONTH(B1168)</f>
        <v/>
      </c>
      <c r="D1168" s="25" t="inlineStr">
        <is>
          <t>East</t>
        </is>
      </c>
      <c r="E1168" s="25" t="inlineStr">
        <is>
          <t>Accessories</t>
        </is>
      </c>
      <c r="F1168" s="25" t="inlineStr">
        <is>
          <t>Webcam</t>
        </is>
      </c>
      <c r="G1168" s="25" t="n">
        <v>3</v>
      </c>
      <c r="H1168" s="27" t="n">
        <v>3200</v>
      </c>
      <c r="I1168" s="28" t="n">
        <v>0</v>
      </c>
      <c r="J1168" s="27" t="n">
        <v>1900</v>
      </c>
      <c r="K1168" s="27">
        <f>G1168*H1168*(1-I1168)</f>
        <v/>
      </c>
      <c r="L1168" s="27">
        <f>K1168-G1168*J1168</f>
        <v/>
      </c>
    </row>
    <row r="1169">
      <c r="A1169" s="25" t="inlineStr">
        <is>
          <t>ORD-10399</t>
        </is>
      </c>
      <c r="B1169" s="26" t="n">
        <v>46016</v>
      </c>
      <c r="C1169" s="25">
        <f>MONTH(B1169)</f>
        <v/>
      </c>
      <c r="D1169" s="25" t="inlineStr">
        <is>
          <t>West</t>
        </is>
      </c>
      <c r="E1169" s="25" t="inlineStr">
        <is>
          <t>Office Supplies</t>
        </is>
      </c>
      <c r="F1169" s="25" t="inlineStr">
        <is>
          <t>Printer Paper Box</t>
        </is>
      </c>
      <c r="G1169" s="25" t="n">
        <v>4</v>
      </c>
      <c r="H1169" s="27" t="n">
        <v>1600</v>
      </c>
      <c r="I1169" s="28" t="n">
        <v>0.15</v>
      </c>
      <c r="J1169" s="27" t="n">
        <v>1050</v>
      </c>
      <c r="K1169" s="27">
        <f>G1169*H1169*(1-I1169)</f>
        <v/>
      </c>
      <c r="L1169" s="27">
        <f>K1169-G1169*J1169</f>
        <v/>
      </c>
    </row>
    <row r="1170">
      <c r="A1170" s="25" t="inlineStr">
        <is>
          <t>ORD-10528</t>
        </is>
      </c>
      <c r="B1170" s="26" t="n">
        <v>46016</v>
      </c>
      <c r="C1170" s="25">
        <f>MONTH(B1170)</f>
        <v/>
      </c>
      <c r="D1170" s="25" t="inlineStr">
        <is>
          <t>North</t>
        </is>
      </c>
      <c r="E1170" s="25" t="inlineStr">
        <is>
          <t>Technology</t>
        </is>
      </c>
      <c r="F1170" s="25" t="inlineStr">
        <is>
          <t>Monitor 24"</t>
        </is>
      </c>
      <c r="G1170" s="25" t="n">
        <v>1</v>
      </c>
      <c r="H1170" s="27" t="n">
        <v>11500</v>
      </c>
      <c r="I1170" s="28" t="n">
        <v>0.05</v>
      </c>
      <c r="J1170" s="27" t="n">
        <v>8200</v>
      </c>
      <c r="K1170" s="27">
        <f>G1170*H1170*(1-I1170)</f>
        <v/>
      </c>
      <c r="L1170" s="27">
        <f>K1170-G1170*J1170</f>
        <v/>
      </c>
    </row>
    <row r="1171">
      <c r="A1171" s="25" t="inlineStr">
        <is>
          <t>ORD-10737</t>
        </is>
      </c>
      <c r="B1171" s="26" t="n">
        <v>46016</v>
      </c>
      <c r="C1171" s="25">
        <f>MONTH(B1171)</f>
        <v/>
      </c>
      <c r="D1171" s="25" t="inlineStr">
        <is>
          <t>West</t>
        </is>
      </c>
      <c r="E1171" s="25" t="inlineStr">
        <is>
          <t>Office Supplies</t>
        </is>
      </c>
      <c r="F1171" s="25" t="inlineStr">
        <is>
          <t>Notebook Set</t>
        </is>
      </c>
      <c r="G1171" s="25" t="n">
        <v>7</v>
      </c>
      <c r="H1171" s="27" t="n">
        <v>450</v>
      </c>
      <c r="I1171" s="28" t="n">
        <v>0</v>
      </c>
      <c r="J1171" s="27" t="n">
        <v>190</v>
      </c>
      <c r="K1171" s="27">
        <f>G1171*H1171*(1-I1171)</f>
        <v/>
      </c>
      <c r="L1171" s="27">
        <f>K1171-G1171*J1171</f>
        <v/>
      </c>
    </row>
    <row r="1172">
      <c r="A1172" s="25" t="inlineStr">
        <is>
          <t>ORD-10097</t>
        </is>
      </c>
      <c r="B1172" s="26" t="n">
        <v>46017</v>
      </c>
      <c r="C1172" s="25">
        <f>MONTH(B1172)</f>
        <v/>
      </c>
      <c r="D1172" s="25" t="inlineStr">
        <is>
          <t>South</t>
        </is>
      </c>
      <c r="E1172" s="25" t="inlineStr">
        <is>
          <t>Office Supplies</t>
        </is>
      </c>
      <c r="F1172" s="25" t="inlineStr">
        <is>
          <t>Printer Paper Box</t>
        </is>
      </c>
      <c r="G1172" s="25" t="n">
        <v>6</v>
      </c>
      <c r="H1172" s="27" t="n">
        <v>1600</v>
      </c>
      <c r="I1172" s="28" t="n">
        <v>0</v>
      </c>
      <c r="J1172" s="27" t="n">
        <v>1050</v>
      </c>
      <c r="K1172" s="27">
        <f>G1172*H1172*(1-I1172)</f>
        <v/>
      </c>
      <c r="L1172" s="27">
        <f>K1172-G1172*J1172</f>
        <v/>
      </c>
    </row>
    <row r="1173">
      <c r="A1173" s="25" t="inlineStr">
        <is>
          <t>ORD-10125</t>
        </is>
      </c>
      <c r="B1173" s="26" t="n">
        <v>46017</v>
      </c>
      <c r="C1173" s="25">
        <f>MONTH(B1173)</f>
        <v/>
      </c>
      <c r="D1173" s="25" t="inlineStr">
        <is>
          <t>East</t>
        </is>
      </c>
      <c r="E1173" s="25" t="inlineStr">
        <is>
          <t>Accessories</t>
        </is>
      </c>
      <c r="F1173" s="25" t="inlineStr">
        <is>
          <t>USB-C Hub</t>
        </is>
      </c>
      <c r="G1173" s="25" t="n">
        <v>4</v>
      </c>
      <c r="H1173" s="27" t="n">
        <v>1800</v>
      </c>
      <c r="I1173" s="28" t="n">
        <v>0</v>
      </c>
      <c r="J1173" s="27" t="n">
        <v>980</v>
      </c>
      <c r="K1173" s="27">
        <f>G1173*H1173*(1-I1173)</f>
        <v/>
      </c>
      <c r="L1173" s="27">
        <f>K1173-G1173*J1173</f>
        <v/>
      </c>
    </row>
    <row r="1174">
      <c r="A1174" s="25" t="inlineStr">
        <is>
          <t>ORD-10205</t>
        </is>
      </c>
      <c r="B1174" s="26" t="n">
        <v>46017</v>
      </c>
      <c r="C1174" s="25">
        <f>MONTH(B1174)</f>
        <v/>
      </c>
      <c r="D1174" s="25" t="inlineStr">
        <is>
          <t>South</t>
        </is>
      </c>
      <c r="E1174" s="25" t="inlineStr">
        <is>
          <t>Furniture</t>
        </is>
      </c>
      <c r="F1174" s="25" t="inlineStr">
        <is>
          <t>Bookshelf</t>
        </is>
      </c>
      <c r="G1174" s="25" t="n">
        <v>3</v>
      </c>
      <c r="H1174" s="27" t="n">
        <v>6200</v>
      </c>
      <c r="I1174" s="28" t="n">
        <v>0</v>
      </c>
      <c r="J1174" s="27" t="n">
        <v>4100</v>
      </c>
      <c r="K1174" s="27">
        <f>G1174*H1174*(1-I1174)</f>
        <v/>
      </c>
      <c r="L1174" s="27">
        <f>K1174-G1174*J1174</f>
        <v/>
      </c>
    </row>
    <row r="1175">
      <c r="A1175" s="25" t="inlineStr">
        <is>
          <t>ORD-10257</t>
        </is>
      </c>
      <c r="B1175" s="26" t="n">
        <v>46017</v>
      </c>
      <c r="C1175" s="25">
        <f>MONTH(B1175)</f>
        <v/>
      </c>
      <c r="D1175" s="25" t="inlineStr">
        <is>
          <t>North</t>
        </is>
      </c>
      <c r="E1175" s="25" t="inlineStr">
        <is>
          <t>Accessories</t>
        </is>
      </c>
      <c r="F1175" s="25" t="inlineStr">
        <is>
          <t>Webcam</t>
        </is>
      </c>
      <c r="G1175" s="25" t="n">
        <v>1</v>
      </c>
      <c r="H1175" s="27" t="n">
        <v>3200</v>
      </c>
      <c r="I1175" s="28" t="n">
        <v>0</v>
      </c>
      <c r="J1175" s="27" t="n">
        <v>1900</v>
      </c>
      <c r="K1175" s="27">
        <f>G1175*H1175*(1-I1175)</f>
        <v/>
      </c>
      <c r="L1175" s="27">
        <f>K1175-G1175*J1175</f>
        <v/>
      </c>
    </row>
    <row r="1176">
      <c r="A1176" s="25" t="inlineStr">
        <is>
          <t>ORD-10512</t>
        </is>
      </c>
      <c r="B1176" s="26" t="n">
        <v>46017</v>
      </c>
      <c r="C1176" s="25">
        <f>MONTH(B1176)</f>
        <v/>
      </c>
      <c r="D1176" s="25" t="inlineStr">
        <is>
          <t>East</t>
        </is>
      </c>
      <c r="E1176" s="25" t="inlineStr">
        <is>
          <t>Accessories</t>
        </is>
      </c>
      <c r="F1176" s="25" t="inlineStr">
        <is>
          <t>Headphones</t>
        </is>
      </c>
      <c r="G1176" s="25" t="n">
        <v>3</v>
      </c>
      <c r="H1176" s="27" t="n">
        <v>4500</v>
      </c>
      <c r="I1176" s="28" t="n">
        <v>0</v>
      </c>
      <c r="J1176" s="27" t="n">
        <v>2600</v>
      </c>
      <c r="K1176" s="27">
        <f>G1176*H1176*(1-I1176)</f>
        <v/>
      </c>
      <c r="L1176" s="27">
        <f>K1176-G1176*J1176</f>
        <v/>
      </c>
    </row>
    <row r="1177">
      <c r="A1177" s="25" t="inlineStr">
        <is>
          <t>ORD-10776</t>
        </is>
      </c>
      <c r="B1177" s="26" t="n">
        <v>46017</v>
      </c>
      <c r="C1177" s="25">
        <f>MONTH(B1177)</f>
        <v/>
      </c>
      <c r="D1177" s="25" t="inlineStr">
        <is>
          <t>South</t>
        </is>
      </c>
      <c r="E1177" s="25" t="inlineStr">
        <is>
          <t>Office Supplies</t>
        </is>
      </c>
      <c r="F1177" s="25" t="inlineStr">
        <is>
          <t>Printer Paper Box</t>
        </is>
      </c>
      <c r="G1177" s="25" t="n">
        <v>2</v>
      </c>
      <c r="H1177" s="27" t="n">
        <v>1600</v>
      </c>
      <c r="I1177" s="28" t="n">
        <v>0.2</v>
      </c>
      <c r="J1177" s="27" t="n">
        <v>1050</v>
      </c>
      <c r="K1177" s="27">
        <f>G1177*H1177*(1-I1177)</f>
        <v/>
      </c>
      <c r="L1177" s="27">
        <f>K1177-G1177*J1177</f>
        <v/>
      </c>
    </row>
    <row r="1178">
      <c r="A1178" s="25" t="inlineStr">
        <is>
          <t>ORD-10850</t>
        </is>
      </c>
      <c r="B1178" s="26" t="n">
        <v>46017</v>
      </c>
      <c r="C1178" s="25">
        <f>MONTH(B1178)</f>
        <v/>
      </c>
      <c r="D1178" s="25" t="inlineStr">
        <is>
          <t>West</t>
        </is>
      </c>
      <c r="E1178" s="25" t="inlineStr">
        <is>
          <t>Office Supplies</t>
        </is>
      </c>
      <c r="F1178" s="25" t="inlineStr">
        <is>
          <t>Printer Paper Box</t>
        </is>
      </c>
      <c r="G1178" s="25" t="n">
        <v>4</v>
      </c>
      <c r="H1178" s="27" t="n">
        <v>1600</v>
      </c>
      <c r="I1178" s="28" t="n">
        <v>0.1</v>
      </c>
      <c r="J1178" s="27" t="n">
        <v>1050</v>
      </c>
      <c r="K1178" s="27">
        <f>G1178*H1178*(1-I1178)</f>
        <v/>
      </c>
      <c r="L1178" s="27">
        <f>K1178-G1178*J1178</f>
        <v/>
      </c>
    </row>
    <row r="1179">
      <c r="A1179" s="25" t="inlineStr">
        <is>
          <t>ORD-10925</t>
        </is>
      </c>
      <c r="B1179" s="26" t="n">
        <v>46017</v>
      </c>
      <c r="C1179" s="25">
        <f>MONTH(B1179)</f>
        <v/>
      </c>
      <c r="D1179" s="25" t="inlineStr">
        <is>
          <t>South</t>
        </is>
      </c>
      <c r="E1179" s="25" t="inlineStr">
        <is>
          <t>Office Supplies</t>
        </is>
      </c>
      <c r="F1179" s="25" t="inlineStr">
        <is>
          <t>Printer Paper Box</t>
        </is>
      </c>
      <c r="G1179" s="25" t="n">
        <v>3</v>
      </c>
      <c r="H1179" s="27" t="n">
        <v>1600</v>
      </c>
      <c r="I1179" s="28" t="n">
        <v>0.05</v>
      </c>
      <c r="J1179" s="27" t="n">
        <v>1050</v>
      </c>
      <c r="K1179" s="27">
        <f>G1179*H1179*(1-I1179)</f>
        <v/>
      </c>
      <c r="L1179" s="27">
        <f>K1179-G1179*J1179</f>
        <v/>
      </c>
    </row>
    <row r="1180">
      <c r="A1180" s="25" t="inlineStr">
        <is>
          <t>ORD-10954</t>
        </is>
      </c>
      <c r="B1180" s="26" t="n">
        <v>46017</v>
      </c>
      <c r="C1180" s="25">
        <f>MONTH(B1180)</f>
        <v/>
      </c>
      <c r="D1180" s="25" t="inlineStr">
        <is>
          <t>East</t>
        </is>
      </c>
      <c r="E1180" s="25" t="inlineStr">
        <is>
          <t>Technology</t>
        </is>
      </c>
      <c r="F1180" s="25" t="inlineStr">
        <is>
          <t>Monitor 24"</t>
        </is>
      </c>
      <c r="G1180" s="25" t="n">
        <v>2</v>
      </c>
      <c r="H1180" s="27" t="n">
        <v>11500</v>
      </c>
      <c r="I1180" s="28" t="n">
        <v>0.1</v>
      </c>
      <c r="J1180" s="27" t="n">
        <v>8200</v>
      </c>
      <c r="K1180" s="27">
        <f>G1180*H1180*(1-I1180)</f>
        <v/>
      </c>
      <c r="L1180" s="27">
        <f>K1180-G1180*J1180</f>
        <v/>
      </c>
    </row>
    <row r="1181">
      <c r="A1181" s="25" t="inlineStr">
        <is>
          <t>ORD-11101</t>
        </is>
      </c>
      <c r="B1181" s="26" t="n">
        <v>46017</v>
      </c>
      <c r="C1181" s="25">
        <f>MONTH(B1181)</f>
        <v/>
      </c>
      <c r="D1181" s="25" t="inlineStr">
        <is>
          <t>East</t>
        </is>
      </c>
      <c r="E1181" s="25" t="inlineStr">
        <is>
          <t>Furniture</t>
        </is>
      </c>
      <c r="F1181" s="25" t="inlineStr">
        <is>
          <t>Bookshelf</t>
        </is>
      </c>
      <c r="G1181" s="25" t="n">
        <v>2</v>
      </c>
      <c r="H1181" s="27" t="n">
        <v>6200</v>
      </c>
      <c r="I1181" s="28" t="n">
        <v>0</v>
      </c>
      <c r="J1181" s="27" t="n">
        <v>4100</v>
      </c>
      <c r="K1181" s="27">
        <f>G1181*H1181*(1-I1181)</f>
        <v/>
      </c>
      <c r="L1181" s="27">
        <f>K1181-G1181*J1181</f>
        <v/>
      </c>
    </row>
    <row r="1182">
      <c r="A1182" s="25" t="inlineStr">
        <is>
          <t>ORD-11198</t>
        </is>
      </c>
      <c r="B1182" s="26" t="n">
        <v>46017</v>
      </c>
      <c r="C1182" s="25">
        <f>MONTH(B1182)</f>
        <v/>
      </c>
      <c r="D1182" s="25" t="inlineStr">
        <is>
          <t>East</t>
        </is>
      </c>
      <c r="E1182" s="25" t="inlineStr">
        <is>
          <t>Technology</t>
        </is>
      </c>
      <c r="F1182" s="25" t="inlineStr">
        <is>
          <t>Monitor 24"</t>
        </is>
      </c>
      <c r="G1182" s="25" t="n">
        <v>1</v>
      </c>
      <c r="H1182" s="27" t="n">
        <v>11500</v>
      </c>
      <c r="I1182" s="28" t="n">
        <v>0</v>
      </c>
      <c r="J1182" s="27" t="n">
        <v>8200</v>
      </c>
      <c r="K1182" s="27">
        <f>G1182*H1182*(1-I1182)</f>
        <v/>
      </c>
      <c r="L1182" s="27">
        <f>K1182-G1182*J1182</f>
        <v/>
      </c>
    </row>
    <row r="1183">
      <c r="A1183" s="25" t="inlineStr">
        <is>
          <t>ORD-10114</t>
        </is>
      </c>
      <c r="B1183" s="26" t="n">
        <v>46018</v>
      </c>
      <c r="C1183" s="25">
        <f>MONTH(B1183)</f>
        <v/>
      </c>
      <c r="D1183" s="25" t="inlineStr">
        <is>
          <t>South</t>
        </is>
      </c>
      <c r="E1183" s="25" t="inlineStr">
        <is>
          <t>Technology</t>
        </is>
      </c>
      <c r="F1183" s="25" t="inlineStr">
        <is>
          <t>Monitor 24"</t>
        </is>
      </c>
      <c r="G1183" s="25" t="n">
        <v>1</v>
      </c>
      <c r="H1183" s="27" t="n">
        <v>11500</v>
      </c>
      <c r="I1183" s="28" t="n">
        <v>0.05</v>
      </c>
      <c r="J1183" s="27" t="n">
        <v>8200</v>
      </c>
      <c r="K1183" s="27">
        <f>G1183*H1183*(1-I1183)</f>
        <v/>
      </c>
      <c r="L1183" s="27">
        <f>K1183-G1183*J1183</f>
        <v/>
      </c>
    </row>
    <row r="1184">
      <c r="A1184" s="25" t="inlineStr">
        <is>
          <t>ORD-10141</t>
        </is>
      </c>
      <c r="B1184" s="26" t="n">
        <v>46018</v>
      </c>
      <c r="C1184" s="25">
        <f>MONTH(B1184)</f>
        <v/>
      </c>
      <c r="D1184" s="25" t="inlineStr">
        <is>
          <t>South</t>
        </is>
      </c>
      <c r="E1184" s="25" t="inlineStr">
        <is>
          <t>Technology</t>
        </is>
      </c>
      <c r="F1184" s="25" t="inlineStr">
        <is>
          <t>Mechanical Keyboard</t>
        </is>
      </c>
      <c r="G1184" s="25" t="n">
        <v>2</v>
      </c>
      <c r="H1184" s="27" t="n">
        <v>4200</v>
      </c>
      <c r="I1184" s="28" t="n">
        <v>0</v>
      </c>
      <c r="J1184" s="27" t="n">
        <v>2500</v>
      </c>
      <c r="K1184" s="27">
        <f>G1184*H1184*(1-I1184)</f>
        <v/>
      </c>
      <c r="L1184" s="27">
        <f>K1184-G1184*J1184</f>
        <v/>
      </c>
    </row>
    <row r="1185">
      <c r="A1185" s="25" t="inlineStr">
        <is>
          <t>ORD-10207</t>
        </is>
      </c>
      <c r="B1185" s="26" t="n">
        <v>46018</v>
      </c>
      <c r="C1185" s="25">
        <f>MONTH(B1185)</f>
        <v/>
      </c>
      <c r="D1185" s="25" t="inlineStr">
        <is>
          <t>North</t>
        </is>
      </c>
      <c r="E1185" s="25" t="inlineStr">
        <is>
          <t>Office Supplies</t>
        </is>
      </c>
      <c r="F1185" s="25" t="inlineStr">
        <is>
          <t>Printer Paper Box</t>
        </is>
      </c>
      <c r="G1185" s="25" t="n">
        <v>2</v>
      </c>
      <c r="H1185" s="27" t="n">
        <v>1600</v>
      </c>
      <c r="I1185" s="28" t="n">
        <v>0</v>
      </c>
      <c r="J1185" s="27" t="n">
        <v>1050</v>
      </c>
      <c r="K1185" s="27">
        <f>G1185*H1185*(1-I1185)</f>
        <v/>
      </c>
      <c r="L1185" s="27">
        <f>K1185-G1185*J1185</f>
        <v/>
      </c>
    </row>
    <row r="1186">
      <c r="A1186" s="25" t="inlineStr">
        <is>
          <t>ORD-10298</t>
        </is>
      </c>
      <c r="B1186" s="26" t="n">
        <v>46018</v>
      </c>
      <c r="C1186" s="25">
        <f>MONTH(B1186)</f>
        <v/>
      </c>
      <c r="D1186" s="25" t="inlineStr">
        <is>
          <t>East</t>
        </is>
      </c>
      <c r="E1186" s="25" t="inlineStr">
        <is>
          <t>Office Supplies</t>
        </is>
      </c>
      <c r="F1186" s="25" t="inlineStr">
        <is>
          <t>Notebook Set</t>
        </is>
      </c>
      <c r="G1186" s="25" t="n">
        <v>8</v>
      </c>
      <c r="H1186" s="27" t="n">
        <v>450</v>
      </c>
      <c r="I1186" s="28" t="n">
        <v>0</v>
      </c>
      <c r="J1186" s="27" t="n">
        <v>190</v>
      </c>
      <c r="K1186" s="27">
        <f>G1186*H1186*(1-I1186)</f>
        <v/>
      </c>
      <c r="L1186" s="27">
        <f>K1186-G1186*J1186</f>
        <v/>
      </c>
    </row>
    <row r="1187">
      <c r="A1187" s="25" t="inlineStr">
        <is>
          <t>ORD-10361</t>
        </is>
      </c>
      <c r="B1187" s="26" t="n">
        <v>46018</v>
      </c>
      <c r="C1187" s="25">
        <f>MONTH(B1187)</f>
        <v/>
      </c>
      <c r="D1187" s="25" t="inlineStr">
        <is>
          <t>North</t>
        </is>
      </c>
      <c r="E1187" s="25" t="inlineStr">
        <is>
          <t>Technology</t>
        </is>
      </c>
      <c r="F1187" s="25" t="inlineStr">
        <is>
          <t>Wireless Mouse</t>
        </is>
      </c>
      <c r="G1187" s="25" t="n">
        <v>2</v>
      </c>
      <c r="H1187" s="27" t="n">
        <v>1200</v>
      </c>
      <c r="I1187" s="28" t="n">
        <v>0</v>
      </c>
      <c r="J1187" s="27" t="n">
        <v>650</v>
      </c>
      <c r="K1187" s="27">
        <f>G1187*H1187*(1-I1187)</f>
        <v/>
      </c>
      <c r="L1187" s="27">
        <f>K1187-G1187*J1187</f>
        <v/>
      </c>
    </row>
    <row r="1188">
      <c r="A1188" s="25" t="inlineStr">
        <is>
          <t>ORD-10531</t>
        </is>
      </c>
      <c r="B1188" s="26" t="n">
        <v>46018</v>
      </c>
      <c r="C1188" s="25">
        <f>MONTH(B1188)</f>
        <v/>
      </c>
      <c r="D1188" s="25" t="inlineStr">
        <is>
          <t>West</t>
        </is>
      </c>
      <c r="E1188" s="25" t="inlineStr">
        <is>
          <t>Accessories</t>
        </is>
      </c>
      <c r="F1188" s="25" t="inlineStr">
        <is>
          <t>Headphones</t>
        </is>
      </c>
      <c r="G1188" s="25" t="n">
        <v>3</v>
      </c>
      <c r="H1188" s="27" t="n">
        <v>4500</v>
      </c>
      <c r="I1188" s="28" t="n">
        <v>0.05</v>
      </c>
      <c r="J1188" s="27" t="n">
        <v>2600</v>
      </c>
      <c r="K1188" s="27">
        <f>G1188*H1188*(1-I1188)</f>
        <v/>
      </c>
      <c r="L1188" s="27">
        <f>K1188-G1188*J1188</f>
        <v/>
      </c>
    </row>
    <row r="1189">
      <c r="A1189" s="25" t="inlineStr">
        <is>
          <t>ORD-10933</t>
        </is>
      </c>
      <c r="B1189" s="26" t="n">
        <v>46018</v>
      </c>
      <c r="C1189" s="25">
        <f>MONTH(B1189)</f>
        <v/>
      </c>
      <c r="D1189" s="25" t="inlineStr">
        <is>
          <t>South</t>
        </is>
      </c>
      <c r="E1189" s="25" t="inlineStr">
        <is>
          <t>Accessories</t>
        </is>
      </c>
      <c r="F1189" s="25" t="inlineStr">
        <is>
          <t>Headphones</t>
        </is>
      </c>
      <c r="G1189" s="25" t="n">
        <v>1</v>
      </c>
      <c r="H1189" s="27" t="n">
        <v>4500</v>
      </c>
      <c r="I1189" s="28" t="n">
        <v>0</v>
      </c>
      <c r="J1189" s="27" t="n">
        <v>2600</v>
      </c>
      <c r="K1189" s="27">
        <f>G1189*H1189*(1-I1189)</f>
        <v/>
      </c>
      <c r="L1189" s="27">
        <f>K1189-G1189*J1189</f>
        <v/>
      </c>
    </row>
    <row r="1190">
      <c r="A1190" s="25" t="inlineStr">
        <is>
          <t>ORD-11007</t>
        </is>
      </c>
      <c r="B1190" s="26" t="n">
        <v>46018</v>
      </c>
      <c r="C1190" s="25">
        <f>MONTH(B1190)</f>
        <v/>
      </c>
      <c r="D1190" s="25" t="inlineStr">
        <is>
          <t>West</t>
        </is>
      </c>
      <c r="E1190" s="25" t="inlineStr">
        <is>
          <t>Technology</t>
        </is>
      </c>
      <c r="F1190" s="25" t="inlineStr">
        <is>
          <t>Wireless Mouse</t>
        </is>
      </c>
      <c r="G1190" s="25" t="n">
        <v>2</v>
      </c>
      <c r="H1190" s="27" t="n">
        <v>1200</v>
      </c>
      <c r="I1190" s="28" t="n">
        <v>0</v>
      </c>
      <c r="J1190" s="27" t="n">
        <v>650</v>
      </c>
      <c r="K1190" s="27">
        <f>G1190*H1190*(1-I1190)</f>
        <v/>
      </c>
      <c r="L1190" s="27">
        <f>K1190-G1190*J1190</f>
        <v/>
      </c>
    </row>
    <row r="1191">
      <c r="A1191" s="25" t="inlineStr">
        <is>
          <t>ORD-11038</t>
        </is>
      </c>
      <c r="B1191" s="26" t="n">
        <v>46018</v>
      </c>
      <c r="C1191" s="25">
        <f>MONTH(B1191)</f>
        <v/>
      </c>
      <c r="D1191" s="25" t="inlineStr">
        <is>
          <t>South</t>
        </is>
      </c>
      <c r="E1191" s="25" t="inlineStr">
        <is>
          <t>Accessories</t>
        </is>
      </c>
      <c r="F1191" s="25" t="inlineStr">
        <is>
          <t>Webcam</t>
        </is>
      </c>
      <c r="G1191" s="25" t="n">
        <v>1</v>
      </c>
      <c r="H1191" s="27" t="n">
        <v>3200</v>
      </c>
      <c r="I1191" s="28" t="n">
        <v>0.2</v>
      </c>
      <c r="J1191" s="27" t="n">
        <v>1900</v>
      </c>
      <c r="K1191" s="27">
        <f>G1191*H1191*(1-I1191)</f>
        <v/>
      </c>
      <c r="L1191" s="27">
        <f>K1191-G1191*J1191</f>
        <v/>
      </c>
    </row>
    <row r="1192">
      <c r="A1192" s="25" t="inlineStr">
        <is>
          <t>ORD-10060</t>
        </is>
      </c>
      <c r="B1192" s="26" t="n">
        <v>46019</v>
      </c>
      <c r="C1192" s="25">
        <f>MONTH(B1192)</f>
        <v/>
      </c>
      <c r="D1192" s="25" t="inlineStr">
        <is>
          <t>South</t>
        </is>
      </c>
      <c r="E1192" s="25" t="inlineStr">
        <is>
          <t>Office Supplies</t>
        </is>
      </c>
      <c r="F1192" s="25" t="inlineStr">
        <is>
          <t>Notebook Set</t>
        </is>
      </c>
      <c r="G1192" s="25" t="n">
        <v>4</v>
      </c>
      <c r="H1192" s="27" t="n">
        <v>450</v>
      </c>
      <c r="I1192" s="28" t="n">
        <v>0</v>
      </c>
      <c r="J1192" s="27" t="n">
        <v>190</v>
      </c>
      <c r="K1192" s="27">
        <f>G1192*H1192*(1-I1192)</f>
        <v/>
      </c>
      <c r="L1192" s="27">
        <f>K1192-G1192*J1192</f>
        <v/>
      </c>
    </row>
    <row r="1193">
      <c r="A1193" s="25" t="inlineStr">
        <is>
          <t>ORD-10100</t>
        </is>
      </c>
      <c r="B1193" s="26" t="n">
        <v>46019</v>
      </c>
      <c r="C1193" s="25">
        <f>MONTH(B1193)</f>
        <v/>
      </c>
      <c r="D1193" s="25" t="inlineStr">
        <is>
          <t>North</t>
        </is>
      </c>
      <c r="E1193" s="25" t="inlineStr">
        <is>
          <t>Accessories</t>
        </is>
      </c>
      <c r="F1193" s="25" t="inlineStr">
        <is>
          <t>USB-C Hub</t>
        </is>
      </c>
      <c r="G1193" s="25" t="n">
        <v>2</v>
      </c>
      <c r="H1193" s="27" t="n">
        <v>1800</v>
      </c>
      <c r="I1193" s="28" t="n">
        <v>0</v>
      </c>
      <c r="J1193" s="27" t="n">
        <v>980</v>
      </c>
      <c r="K1193" s="27">
        <f>G1193*H1193*(1-I1193)</f>
        <v/>
      </c>
      <c r="L1193" s="27">
        <f>K1193-G1193*J1193</f>
        <v/>
      </c>
    </row>
    <row r="1194">
      <c r="A1194" s="25" t="inlineStr">
        <is>
          <t>ORD-10245</t>
        </is>
      </c>
      <c r="B1194" s="26" t="n">
        <v>46019</v>
      </c>
      <c r="C1194" s="25">
        <f>MONTH(B1194)</f>
        <v/>
      </c>
      <c r="D1194" s="25" t="inlineStr">
        <is>
          <t>South</t>
        </is>
      </c>
      <c r="E1194" s="25" t="inlineStr">
        <is>
          <t>Accessories</t>
        </is>
      </c>
      <c r="F1194" s="25" t="inlineStr">
        <is>
          <t>Webcam</t>
        </is>
      </c>
      <c r="G1194" s="25" t="n">
        <v>2</v>
      </c>
      <c r="H1194" s="27" t="n">
        <v>3200</v>
      </c>
      <c r="I1194" s="28" t="n">
        <v>0</v>
      </c>
      <c r="J1194" s="27" t="n">
        <v>1900</v>
      </c>
      <c r="K1194" s="27">
        <f>G1194*H1194*(1-I1194)</f>
        <v/>
      </c>
      <c r="L1194" s="27">
        <f>K1194-G1194*J1194</f>
        <v/>
      </c>
    </row>
    <row r="1195">
      <c r="A1195" s="25" t="inlineStr">
        <is>
          <t>ORD-10552</t>
        </is>
      </c>
      <c r="B1195" s="26" t="n">
        <v>46019</v>
      </c>
      <c r="C1195" s="25">
        <f>MONTH(B1195)</f>
        <v/>
      </c>
      <c r="D1195" s="25" t="inlineStr">
        <is>
          <t>West</t>
        </is>
      </c>
      <c r="E1195" s="25" t="inlineStr">
        <is>
          <t>Accessories</t>
        </is>
      </c>
      <c r="F1195" s="25" t="inlineStr">
        <is>
          <t>Headphones</t>
        </is>
      </c>
      <c r="G1195" s="25" t="n">
        <v>3</v>
      </c>
      <c r="H1195" s="27" t="n">
        <v>4500</v>
      </c>
      <c r="I1195" s="28" t="n">
        <v>0.15</v>
      </c>
      <c r="J1195" s="27" t="n">
        <v>2600</v>
      </c>
      <c r="K1195" s="27">
        <f>G1195*H1195*(1-I1195)</f>
        <v/>
      </c>
      <c r="L1195" s="27">
        <f>K1195-G1195*J1195</f>
        <v/>
      </c>
    </row>
  </sheetData>
  <autoFilter ref="A1:L1195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10" customWidth="1" min="3" max="3"/>
    <col width="16" customWidth="1" min="4" max="4"/>
    <col width="22" customWidth="1" min="5" max="5"/>
    <col width="10" customWidth="1" min="6" max="6"/>
    <col width="11" customWidth="1" min="7" max="7"/>
    <col width="10" customWidth="1" min="8" max="8"/>
    <col width="11" customWidth="1" min="9" max="9"/>
  </cols>
  <sheetData>
    <row r="1">
      <c r="A1" s="13" t="inlineStr">
        <is>
          <t>Order ID</t>
        </is>
      </c>
      <c r="B1" s="13" t="inlineStr">
        <is>
          <t>Order Date</t>
        </is>
      </c>
      <c r="C1" s="13" t="inlineStr">
        <is>
          <t>Region</t>
        </is>
      </c>
      <c r="D1" s="13" t="inlineStr">
        <is>
          <t>Category</t>
        </is>
      </c>
      <c r="E1" s="13" t="inlineStr">
        <is>
          <t>Product</t>
        </is>
      </c>
      <c r="F1" s="13" t="inlineStr">
        <is>
          <t>Quantity</t>
        </is>
      </c>
      <c r="G1" s="13" t="inlineStr">
        <is>
          <t>Unit Price</t>
        </is>
      </c>
      <c r="H1" s="13" t="inlineStr">
        <is>
          <t>Discount</t>
        </is>
      </c>
      <c r="I1" s="13" t="inlineStr">
        <is>
          <t>Unit Cost</t>
        </is>
      </c>
    </row>
    <row r="2">
      <c r="A2" s="25" t="inlineStr">
        <is>
          <t>ORD-10582</t>
        </is>
      </c>
      <c r="B2" s="25" t="inlineStr">
        <is>
          <t>08-May-2025</t>
        </is>
      </c>
      <c r="C2" s="25" t="inlineStr">
        <is>
          <t>West</t>
        </is>
      </c>
      <c r="D2" s="25" t="inlineStr">
        <is>
          <t>Office Supplies</t>
        </is>
      </c>
      <c r="E2" s="25" t="inlineStr">
        <is>
          <t>Desk Organizer</t>
        </is>
      </c>
      <c r="F2" s="25" t="n">
        <v>1</v>
      </c>
      <c r="G2" s="25" t="n">
        <v>850</v>
      </c>
      <c r="H2" s="28" t="n">
        <v>0</v>
      </c>
      <c r="I2" s="25" t="n">
        <v>420</v>
      </c>
    </row>
    <row r="3">
      <c r="A3" s="25" t="inlineStr">
        <is>
          <t>ORD-11076</t>
        </is>
      </c>
      <c r="B3" s="25" t="inlineStr">
        <is>
          <t>24-May-2025</t>
        </is>
      </c>
      <c r="C3" s="25" t="inlineStr">
        <is>
          <t>south</t>
        </is>
      </c>
      <c r="D3" s="25" t="inlineStr">
        <is>
          <t>Technology</t>
        </is>
      </c>
      <c r="E3" s="25" t="inlineStr">
        <is>
          <t>Wireless Mouse</t>
        </is>
      </c>
      <c r="F3" s="25" t="n">
        <v>5</v>
      </c>
      <c r="G3" s="25" t="n">
        <v>1200</v>
      </c>
      <c r="H3" s="28" t="n">
        <v>0</v>
      </c>
      <c r="I3" s="25" t="n">
        <v>650</v>
      </c>
    </row>
    <row r="4">
      <c r="A4" s="25" t="inlineStr">
        <is>
          <t>ORD-11129</t>
        </is>
      </c>
      <c r="B4" s="26" t="n">
        <v>45877</v>
      </c>
      <c r="C4" s="25" t="inlineStr">
        <is>
          <t>West</t>
        </is>
      </c>
      <c r="D4" s="25" t="inlineStr">
        <is>
          <t>Office Supplies</t>
        </is>
      </c>
      <c r="E4" s="25" t="inlineStr">
        <is>
          <t>Notebook Set</t>
        </is>
      </c>
      <c r="F4" s="25" t="n">
        <v>7</v>
      </c>
      <c r="G4" s="25" t="n">
        <v>450</v>
      </c>
      <c r="H4" s="28" t="n">
        <v>0.05</v>
      </c>
      <c r="I4" s="25" t="n">
        <v>190</v>
      </c>
    </row>
    <row r="5">
      <c r="A5" s="25" t="inlineStr">
        <is>
          <t>ORD-10986</t>
        </is>
      </c>
      <c r="B5" s="26" t="n">
        <v>45664</v>
      </c>
      <c r="C5" s="25" t="inlineStr">
        <is>
          <t>North</t>
        </is>
      </c>
      <c r="D5" s="25" t="inlineStr">
        <is>
          <t>Accessories</t>
        </is>
      </c>
      <c r="E5" s="25" t="inlineStr">
        <is>
          <t>USB-C Hub</t>
        </is>
      </c>
      <c r="F5" s="25" t="n">
        <v>2</v>
      </c>
      <c r="G5" s="25" t="n">
        <v>1800</v>
      </c>
      <c r="H5" s="28" t="n">
        <v>0.15</v>
      </c>
      <c r="I5" s="25" t="n">
        <v>980</v>
      </c>
    </row>
    <row r="6">
      <c r="A6" s="25" t="inlineStr">
        <is>
          <t>ORD-10635</t>
        </is>
      </c>
      <c r="B6" s="26" t="n">
        <v>45908</v>
      </c>
      <c r="C6" s="25" t="inlineStr">
        <is>
          <t>East</t>
        </is>
      </c>
      <c r="D6" s="25" t="inlineStr">
        <is>
          <t>Technology</t>
        </is>
      </c>
      <c r="E6" s="25" t="inlineStr">
        <is>
          <t>Mechanical Keyboard</t>
        </is>
      </c>
      <c r="F6" s="25" t="n">
        <v>2</v>
      </c>
      <c r="G6" s="25" t="n">
        <v>4200</v>
      </c>
      <c r="H6" s="28" t="n">
        <v>0</v>
      </c>
      <c r="I6" s="25" t="n">
        <v>2500</v>
      </c>
    </row>
    <row r="7">
      <c r="A7" s="25" t="inlineStr">
        <is>
          <t>ORD-10724</t>
        </is>
      </c>
      <c r="B7" s="26" t="n">
        <v>45949</v>
      </c>
      <c r="C7" s="25" t="inlineStr">
        <is>
          <t>East</t>
        </is>
      </c>
      <c r="D7" s="25" t="inlineStr">
        <is>
          <t>Accessories</t>
        </is>
      </c>
      <c r="E7" s="25" t="inlineStr">
        <is>
          <t>USB-C Hub</t>
        </is>
      </c>
      <c r="F7" s="25" t="n">
        <v>4</v>
      </c>
      <c r="G7" s="25" t="n">
        <v>1800</v>
      </c>
      <c r="H7" s="28" t="n">
        <v>0</v>
      </c>
      <c r="I7" s="25" t="n">
        <v>980</v>
      </c>
    </row>
    <row r="8">
      <c r="A8" s="25" t="inlineStr">
        <is>
          <t>ORD-10123</t>
        </is>
      </c>
      <c r="B8" s="26" t="n">
        <v>45665</v>
      </c>
      <c r="C8" s="25" t="inlineStr">
        <is>
          <t>West</t>
        </is>
      </c>
      <c r="D8" s="25" t="inlineStr">
        <is>
          <t>Accessories</t>
        </is>
      </c>
      <c r="E8" s="25" t="inlineStr">
        <is>
          <t>Headphones</t>
        </is>
      </c>
      <c r="F8" s="25" t="n">
        <v>1</v>
      </c>
      <c r="G8" s="25" t="n">
        <v>4500</v>
      </c>
      <c r="H8" s="28" t="n">
        <v>0</v>
      </c>
      <c r="I8" s="25" t="n">
        <v>2600</v>
      </c>
    </row>
    <row r="9">
      <c r="A9" s="25" t="inlineStr">
        <is>
          <t>ORD-10445</t>
        </is>
      </c>
      <c r="B9" s="26" t="n">
        <v>45693</v>
      </c>
      <c r="C9" s="25" t="inlineStr">
        <is>
          <t>North</t>
        </is>
      </c>
      <c r="D9" s="25" t="inlineStr">
        <is>
          <t>Technology</t>
        </is>
      </c>
      <c r="E9" s="25" t="inlineStr">
        <is>
          <t>Wireless Mouse</t>
        </is>
      </c>
      <c r="F9" s="25" t="n">
        <v>5</v>
      </c>
      <c r="G9" s="25" t="n">
        <v>1200</v>
      </c>
      <c r="H9" s="28" t="n">
        <v>0.2</v>
      </c>
      <c r="I9" s="25" t="n">
        <v>650</v>
      </c>
    </row>
    <row r="10">
      <c r="A10" s="25" t="inlineStr">
        <is>
          <t>ORD-10142</t>
        </is>
      </c>
      <c r="B10" s="26" t="n">
        <v>45817</v>
      </c>
      <c r="C10" s="25" t="inlineStr">
        <is>
          <t>North</t>
        </is>
      </c>
      <c r="D10" s="25" t="inlineStr">
        <is>
          <t>Furniture</t>
        </is>
      </c>
      <c r="E10" s="25" t="inlineStr">
        <is>
          <t>Bookshelf</t>
        </is>
      </c>
      <c r="F10" s="25" t="n">
        <v>2</v>
      </c>
      <c r="G10" s="25" t="n">
        <v>6200</v>
      </c>
      <c r="H10" s="28" t="n">
        <v>0.2</v>
      </c>
      <c r="I10" s="25" t="n">
        <v>4100</v>
      </c>
    </row>
    <row r="11">
      <c r="A11" s="25" t="inlineStr">
        <is>
          <t>ORD-10524</t>
        </is>
      </c>
      <c r="B11" s="26" t="n">
        <v>45755</v>
      </c>
      <c r="C11" s="25" t="inlineStr">
        <is>
          <t>East</t>
        </is>
      </c>
      <c r="D11" s="25" t="inlineStr">
        <is>
          <t>Furniture</t>
        </is>
      </c>
      <c r="E11" s="25" t="inlineStr">
        <is>
          <t>Office Chair</t>
        </is>
      </c>
      <c r="F11" s="25" t="n">
        <v>2</v>
      </c>
      <c r="G11" s="25" t="n">
        <v>8500</v>
      </c>
      <c r="H11" s="28" t="n">
        <v>0.05</v>
      </c>
      <c r="I11" s="25" t="n">
        <v>5600</v>
      </c>
    </row>
    <row r="12">
      <c r="A12" s="25" t="inlineStr">
        <is>
          <t>ORD-10099</t>
        </is>
      </c>
      <c r="B12" s="26" t="n">
        <v>45945</v>
      </c>
      <c r="C12" s="25" t="inlineStr">
        <is>
          <t>West</t>
        </is>
      </c>
      <c r="D12" s="25" t="inlineStr">
        <is>
          <t>Accessories</t>
        </is>
      </c>
      <c r="E12" s="25" t="inlineStr">
        <is>
          <t>Webcam</t>
        </is>
      </c>
      <c r="F12" s="25" t="n">
        <v>2</v>
      </c>
      <c r="G12" s="25" t="n">
        <v>3200</v>
      </c>
      <c r="H12" s="28" t="n">
        <v>0.05</v>
      </c>
      <c r="I12" s="25" t="n">
        <v>1900</v>
      </c>
    </row>
    <row r="13">
      <c r="A13" s="25" t="inlineStr">
        <is>
          <t>ORD-11099</t>
        </is>
      </c>
      <c r="B13" s="26" t="n">
        <v>45843</v>
      </c>
      <c r="C13" s="25" t="inlineStr">
        <is>
          <t>East</t>
        </is>
      </c>
      <c r="D13" s="25" t="inlineStr">
        <is>
          <t>Accessories</t>
        </is>
      </c>
      <c r="E13" s="25" t="inlineStr">
        <is>
          <t>Webcam</t>
        </is>
      </c>
      <c r="F13" s="25" t="n">
        <v>1</v>
      </c>
      <c r="G13" s="25" t="n">
        <v>3200</v>
      </c>
      <c r="H13" s="28" t="n">
        <v>0.2</v>
      </c>
      <c r="I13" s="25" t="n">
        <v>1900</v>
      </c>
    </row>
    <row r="14">
      <c r="A14" s="25" t="inlineStr">
        <is>
          <t>ORD-10978</t>
        </is>
      </c>
      <c r="B14" s="25" t="inlineStr">
        <is>
          <t>07-Dec-2025</t>
        </is>
      </c>
      <c r="C14" s="25" t="inlineStr">
        <is>
          <t>West</t>
        </is>
      </c>
      <c r="D14" s="25" t="inlineStr">
        <is>
          <t>Accessories</t>
        </is>
      </c>
      <c r="E14" s="25" t="inlineStr">
        <is>
          <t>Headphones</t>
        </is>
      </c>
      <c r="F14" s="25" t="n">
        <v>3</v>
      </c>
      <c r="G14" s="25" t="n">
        <v>4500</v>
      </c>
      <c r="H14" s="28" t="n">
        <v>0.1</v>
      </c>
      <c r="I14" s="25" t="n">
        <v>2600</v>
      </c>
    </row>
    <row r="15">
      <c r="A15" s="25" t="inlineStr">
        <is>
          <t>ORD-10546</t>
        </is>
      </c>
      <c r="B15" s="26" t="n">
        <v>46002</v>
      </c>
      <c r="C15" s="25" t="inlineStr">
        <is>
          <t>West</t>
        </is>
      </c>
      <c r="D15" s="25" t="inlineStr">
        <is>
          <t>Office Supplies</t>
        </is>
      </c>
      <c r="E15" s="25" t="inlineStr">
        <is>
          <t>Printer Paper Box</t>
        </is>
      </c>
      <c r="F15" s="25" t="n">
        <v>3</v>
      </c>
      <c r="G15" s="25" t="n">
        <v>1600</v>
      </c>
      <c r="H15" s="28" t="n">
        <v>0.2</v>
      </c>
      <c r="I15" s="25" t="n">
        <v>1050</v>
      </c>
    </row>
    <row r="16">
      <c r="A16" s="25" t="inlineStr">
        <is>
          <t>ORD-10012</t>
        </is>
      </c>
      <c r="B16" s="26" t="n">
        <v>45790</v>
      </c>
      <c r="C16" s="25" t="inlineStr">
        <is>
          <t>West</t>
        </is>
      </c>
      <c r="D16" s="25" t="inlineStr">
        <is>
          <t>Technology</t>
        </is>
      </c>
      <c r="E16" s="25" t="inlineStr">
        <is>
          <t>Monitor 24"</t>
        </is>
      </c>
      <c r="F16" s="25" t="n">
        <v>1</v>
      </c>
      <c r="G16" s="25" t="n">
        <v>11500</v>
      </c>
      <c r="H16" s="28" t="n">
        <v>0.05</v>
      </c>
      <c r="I16" s="25" t="n">
        <v>8200</v>
      </c>
    </row>
    <row r="17">
      <c r="A17" s="25" t="inlineStr">
        <is>
          <t>ORD-10880</t>
        </is>
      </c>
      <c r="B17" s="26" t="n">
        <v>45697</v>
      </c>
      <c r="C17" s="25" t="inlineStr">
        <is>
          <t>East</t>
        </is>
      </c>
      <c r="D17" s="25" t="inlineStr">
        <is>
          <t>Office Supplies</t>
        </is>
      </c>
      <c r="E17" s="25" t="inlineStr">
        <is>
          <t>Printer Paper Box</t>
        </is>
      </c>
      <c r="F17" s="25" t="n">
        <v>2</v>
      </c>
      <c r="G17" s="25" t="n">
        <v>1600</v>
      </c>
      <c r="H17" s="28" t="n">
        <v>0</v>
      </c>
      <c r="I17" s="25" t="n">
        <v>1050</v>
      </c>
    </row>
    <row r="18">
      <c r="A18" s="25" t="inlineStr">
        <is>
          <t>ORD-10264</t>
        </is>
      </c>
      <c r="B18" s="26" t="n">
        <v>45823</v>
      </c>
      <c r="C18" s="25" t="inlineStr">
        <is>
          <t xml:space="preserve">West </t>
        </is>
      </c>
      <c r="D18" s="25" t="inlineStr">
        <is>
          <t>Technology</t>
        </is>
      </c>
      <c r="E18" s="25" t="inlineStr">
        <is>
          <t>Mechanical Keyboard</t>
        </is>
      </c>
      <c r="F18" s="25" t="n">
        <v>2</v>
      </c>
      <c r="G18" s="25" t="n">
        <v>4200</v>
      </c>
      <c r="H18" s="28" t="n">
        <v>0</v>
      </c>
      <c r="I18" s="25" t="n">
        <v>2500</v>
      </c>
    </row>
    <row r="19">
      <c r="A19" s="25" t="inlineStr">
        <is>
          <t>ORD-10688</t>
        </is>
      </c>
      <c r="B19" s="26" t="n">
        <v>45761</v>
      </c>
      <c r="C19" s="25" t="inlineStr">
        <is>
          <t>North</t>
        </is>
      </c>
      <c r="D19" s="25" t="inlineStr">
        <is>
          <t>Accessories</t>
        </is>
      </c>
      <c r="E19" s="25" t="inlineStr">
        <is>
          <t>Webcam</t>
        </is>
      </c>
      <c r="F19" s="25" t="n">
        <v>1</v>
      </c>
      <c r="G19" s="25" t="n">
        <v>3200</v>
      </c>
      <c r="H19" s="28" t="n">
        <v>0</v>
      </c>
      <c r="I19" s="25" t="n">
        <v>1900</v>
      </c>
    </row>
    <row r="20">
      <c r="A20" s="25" t="inlineStr">
        <is>
          <t>ORD-10520</t>
        </is>
      </c>
      <c r="B20" s="26" t="n">
        <v>45704</v>
      </c>
      <c r="C20" s="25" t="inlineStr">
        <is>
          <t>South</t>
        </is>
      </c>
      <c r="D20" s="25" t="inlineStr">
        <is>
          <t>Technology</t>
        </is>
      </c>
      <c r="E20" s="25" t="inlineStr">
        <is>
          <t>Mechanical Keyboard</t>
        </is>
      </c>
      <c r="F20" s="25" t="n">
        <v>3</v>
      </c>
      <c r="G20" s="25" t="n">
        <v>4200</v>
      </c>
      <c r="H20" s="28" t="n">
        <v>0.15</v>
      </c>
      <c r="I20" s="25" t="n">
        <v>2500</v>
      </c>
    </row>
    <row r="21">
      <c r="A21" s="25" t="inlineStr">
        <is>
          <t>ORD-10499</t>
        </is>
      </c>
      <c r="B21" s="26" t="n">
        <v>46009</v>
      </c>
      <c r="C21" s="25" t="inlineStr">
        <is>
          <t>EAST</t>
        </is>
      </c>
      <c r="D21" s="25" t="inlineStr">
        <is>
          <t>Furniture</t>
        </is>
      </c>
      <c r="E21" s="25" t="inlineStr">
        <is>
          <t>Bookshelf</t>
        </is>
      </c>
      <c r="F21" s="25" t="n">
        <v>1</v>
      </c>
      <c r="G21" s="25" t="n">
        <v>6200</v>
      </c>
      <c r="H21" s="28" t="n">
        <v>0.1</v>
      </c>
      <c r="I21" s="25" t="n">
        <v>4100</v>
      </c>
    </row>
    <row r="22">
      <c r="A22" s="25" t="inlineStr">
        <is>
          <t>ORD-10836</t>
        </is>
      </c>
      <c r="B22" s="26" t="n">
        <v>45835</v>
      </c>
      <c r="C22" s="25" t="inlineStr">
        <is>
          <t xml:space="preserve"> North </t>
        </is>
      </c>
      <c r="D22" s="25" t="inlineStr">
        <is>
          <t>Accessories</t>
        </is>
      </c>
      <c r="E22" s="25" t="inlineStr">
        <is>
          <t>Webcam</t>
        </is>
      </c>
      <c r="F22" s="25" t="n">
        <v>1</v>
      </c>
      <c r="G22" s="25" t="n">
        <v>3200</v>
      </c>
      <c r="H22" s="28" t="n">
        <v>0</v>
      </c>
      <c r="I22" s="25" t="n">
        <v>1900</v>
      </c>
    </row>
    <row r="23">
      <c r="A23" s="25" t="inlineStr">
        <is>
          <t>ORD-10937</t>
        </is>
      </c>
      <c r="B23" s="26" t="n">
        <v>45885</v>
      </c>
      <c r="C23" s="25" t="inlineStr">
        <is>
          <t>West</t>
        </is>
      </c>
      <c r="D23" s="25" t="inlineStr">
        <is>
          <t>Accessories</t>
        </is>
      </c>
      <c r="E23" s="25" t="inlineStr">
        <is>
          <t>USB-C Hub</t>
        </is>
      </c>
      <c r="F23" s="25" t="n">
        <v>4</v>
      </c>
      <c r="G23" s="25" t="n">
        <v>1800</v>
      </c>
      <c r="H23" s="28" t="n">
        <v>0</v>
      </c>
      <c r="I23" s="25" t="n">
        <v>980</v>
      </c>
    </row>
    <row r="24">
      <c r="A24" s="25" t="inlineStr">
        <is>
          <t>ORD-10089</t>
        </is>
      </c>
      <c r="B24" s="25" t="inlineStr">
        <is>
          <t>27-Oct-2025</t>
        </is>
      </c>
      <c r="C24" s="25" t="inlineStr">
        <is>
          <t>South</t>
        </is>
      </c>
      <c r="D24" s="25" t="inlineStr">
        <is>
          <t>Technology</t>
        </is>
      </c>
      <c r="E24" s="25" t="inlineStr">
        <is>
          <t>Monitor 24"</t>
        </is>
      </c>
      <c r="F24" s="25" t="n">
        <v>2</v>
      </c>
      <c r="G24" s="25" t="n">
        <v>11500</v>
      </c>
      <c r="H24" s="28" t="n">
        <v>0</v>
      </c>
      <c r="I24" s="25" t="n">
        <v>8200</v>
      </c>
    </row>
    <row r="25">
      <c r="A25" s="25" t="inlineStr">
        <is>
          <t>ORD-10177</t>
        </is>
      </c>
      <c r="B25" s="26" t="n">
        <v>45901</v>
      </c>
      <c r="C25" s="25" t="inlineStr">
        <is>
          <t>North</t>
        </is>
      </c>
      <c r="D25" s="25" t="inlineStr">
        <is>
          <t>Technology</t>
        </is>
      </c>
      <c r="E25" s="25" t="inlineStr">
        <is>
          <t>Wireless Mouse</t>
        </is>
      </c>
      <c r="F25" s="25" t="n">
        <v>1</v>
      </c>
      <c r="G25" s="25" t="n">
        <v>1200</v>
      </c>
      <c r="H25" s="28" t="n">
        <v>0.05</v>
      </c>
      <c r="I25" s="25" t="n">
        <v>650</v>
      </c>
    </row>
    <row r="26">
      <c r="A26" s="25" t="inlineStr">
        <is>
          <t>ORD-10783</t>
        </is>
      </c>
      <c r="B26" s="26" t="n">
        <v>45978</v>
      </c>
      <c r="C26" s="25" t="inlineStr">
        <is>
          <t>East</t>
        </is>
      </c>
      <c r="D26" s="25" t="inlineStr">
        <is>
          <t>Office Supplies</t>
        </is>
      </c>
      <c r="E26" s="25" t="inlineStr">
        <is>
          <t>Notebook Set</t>
        </is>
      </c>
      <c r="F26" s="25" t="n">
        <v>7</v>
      </c>
      <c r="G26" s="25" t="n">
        <v>450</v>
      </c>
      <c r="H26" s="28" t="n">
        <v>0.15</v>
      </c>
      <c r="I26" s="25" t="n">
        <v>190</v>
      </c>
    </row>
    <row r="27">
      <c r="A27" s="25" t="inlineStr">
        <is>
          <t>ORD-10606</t>
        </is>
      </c>
      <c r="B27" s="26" t="n">
        <v>45845</v>
      </c>
      <c r="C27" s="25" t="inlineStr">
        <is>
          <t>North</t>
        </is>
      </c>
      <c r="D27" s="25" t="inlineStr">
        <is>
          <t>Office Supplies</t>
        </is>
      </c>
      <c r="E27" s="25" t="inlineStr">
        <is>
          <t>Notebook Set</t>
        </is>
      </c>
      <c r="F27" s="25" t="n">
        <v>4</v>
      </c>
      <c r="G27" s="25" t="n">
        <v>450</v>
      </c>
      <c r="H27" s="28" t="n">
        <v>0.2</v>
      </c>
      <c r="I27" s="25" t="n">
        <v>190</v>
      </c>
    </row>
    <row r="28">
      <c r="A28" s="25" t="inlineStr">
        <is>
          <t>ORD-10999</t>
        </is>
      </c>
      <c r="B28" s="26" t="n">
        <v>45998</v>
      </c>
      <c r="C28" s="25" t="inlineStr">
        <is>
          <t>South</t>
        </is>
      </c>
      <c r="D28" s="25" t="inlineStr">
        <is>
          <t>Furniture</t>
        </is>
      </c>
      <c r="E28" s="25" t="inlineStr">
        <is>
          <t>Standing Desk</t>
        </is>
      </c>
      <c r="F28" s="25" t="n">
        <v>2</v>
      </c>
      <c r="G28" s="25" t="n">
        <v>19500</v>
      </c>
      <c r="H28" s="28" t="n">
        <v>0</v>
      </c>
      <c r="I28" s="25" t="n">
        <v>13800</v>
      </c>
    </row>
    <row r="29">
      <c r="A29" s="25" t="inlineStr">
        <is>
          <t>ORD-10034</t>
        </is>
      </c>
      <c r="B29" s="26" t="n">
        <v>45740</v>
      </c>
      <c r="C29" s="25" t="inlineStr">
        <is>
          <t>South</t>
        </is>
      </c>
      <c r="D29" s="25" t="inlineStr">
        <is>
          <t>Accessories</t>
        </is>
      </c>
      <c r="E29" s="25" t="inlineStr">
        <is>
          <t>USB-C Hub</t>
        </is>
      </c>
      <c r="F29" s="25" t="n">
        <v>3</v>
      </c>
      <c r="G29" s="25" t="n">
        <v>1800</v>
      </c>
      <c r="H29" s="28" t="n">
        <v>0</v>
      </c>
      <c r="I29" s="25" t="n">
        <v>980</v>
      </c>
    </row>
    <row r="30">
      <c r="A30" s="25" t="inlineStr">
        <is>
          <t>ORD-10416</t>
        </is>
      </c>
      <c r="B30" s="26" t="n">
        <v>45774</v>
      </c>
      <c r="C30" s="25" t="inlineStr">
        <is>
          <t>East</t>
        </is>
      </c>
      <c r="D30" s="25" t="inlineStr">
        <is>
          <t>Office Supplies</t>
        </is>
      </c>
      <c r="E30" s="25" t="inlineStr">
        <is>
          <t>Notebook Set</t>
        </is>
      </c>
      <c r="F30" s="25" t="n">
        <v>8</v>
      </c>
      <c r="G30" s="25" t="n"/>
      <c r="H30" s="28" t="n">
        <v>0</v>
      </c>
      <c r="I30" s="25" t="n">
        <v>190</v>
      </c>
    </row>
    <row r="31">
      <c r="A31" s="25" t="inlineStr">
        <is>
          <t>ORD-10820</t>
        </is>
      </c>
      <c r="B31" s="25" t="inlineStr">
        <is>
          <t>17-Dec-2025</t>
        </is>
      </c>
      <c r="C31" s="25" t="inlineStr">
        <is>
          <t>North</t>
        </is>
      </c>
      <c r="D31" s="25" t="inlineStr">
        <is>
          <t>Accessories</t>
        </is>
      </c>
      <c r="E31" s="25" t="inlineStr">
        <is>
          <t>Headphones</t>
        </is>
      </c>
      <c r="F31" s="25" t="n">
        <v>1</v>
      </c>
      <c r="G31" s="25" t="n">
        <v>4500</v>
      </c>
      <c r="H31" s="28" t="n">
        <v>0.15</v>
      </c>
      <c r="I31" s="25" t="n">
        <v>2600</v>
      </c>
    </row>
    <row r="32">
      <c r="A32" s="25" t="inlineStr">
        <is>
          <t>ORD-10388</t>
        </is>
      </c>
      <c r="B32" s="26" t="n">
        <v>45962</v>
      </c>
      <c r="C32" s="25" t="inlineStr">
        <is>
          <t xml:space="preserve"> North </t>
        </is>
      </c>
      <c r="D32" s="25" t="inlineStr">
        <is>
          <t>Technology</t>
        </is>
      </c>
      <c r="E32" s="25" t="inlineStr">
        <is>
          <t>Wireless Mouse</t>
        </is>
      </c>
      <c r="F32" s="25" t="n">
        <v>3</v>
      </c>
      <c r="G32" s="25" t="n">
        <v>1200</v>
      </c>
      <c r="H32" s="28" t="n">
        <v>0.05</v>
      </c>
      <c r="I32" s="25" t="n">
        <v>650</v>
      </c>
    </row>
    <row r="33">
      <c r="A33" s="25" t="inlineStr">
        <is>
          <t>ORD-10158</t>
        </is>
      </c>
      <c r="B33" s="26" t="n">
        <v>45980</v>
      </c>
      <c r="C33" s="25" t="inlineStr">
        <is>
          <t>West</t>
        </is>
      </c>
      <c r="D33" s="25" t="inlineStr">
        <is>
          <t>Office Supplies</t>
        </is>
      </c>
      <c r="E33" s="25" t="inlineStr">
        <is>
          <t>Desk Organizer</t>
        </is>
      </c>
      <c r="F33" s="25" t="n">
        <v>4</v>
      </c>
      <c r="G33" s="25" t="n">
        <v>850</v>
      </c>
      <c r="H33" s="28" t="n">
        <v>0.15</v>
      </c>
      <c r="I33" s="25" t="n">
        <v>420</v>
      </c>
    </row>
    <row r="34">
      <c r="A34" s="25" t="inlineStr">
        <is>
          <t>ORD-10917</t>
        </is>
      </c>
      <c r="B34" s="25" t="inlineStr">
        <is>
          <t>20-Sep-2025</t>
        </is>
      </c>
      <c r="C34" s="25" t="inlineStr">
        <is>
          <t>North</t>
        </is>
      </c>
      <c r="D34" s="25" t="inlineStr">
        <is>
          <t>Office Supplies</t>
        </is>
      </c>
      <c r="E34" s="25" t="inlineStr">
        <is>
          <t>Desk Organizer</t>
        </is>
      </c>
      <c r="F34" s="25" t="n">
        <v>5</v>
      </c>
      <c r="G34" s="25" t="n">
        <v>850</v>
      </c>
      <c r="H34" s="28" t="n">
        <v>0.15</v>
      </c>
      <c r="I34" s="25" t="n">
        <v>420</v>
      </c>
    </row>
    <row r="35">
      <c r="A35" s="25" t="inlineStr">
        <is>
          <t>ORD-11035</t>
        </is>
      </c>
      <c r="B35" s="26" t="n">
        <v>45730</v>
      </c>
      <c r="C35" s="25" t="inlineStr">
        <is>
          <t>West</t>
        </is>
      </c>
      <c r="D35" s="25" t="inlineStr">
        <is>
          <t>Technology</t>
        </is>
      </c>
      <c r="E35" s="25" t="inlineStr">
        <is>
          <t>Mechanical Keyboard</t>
        </is>
      </c>
      <c r="F35" s="25" t="n">
        <v>1</v>
      </c>
      <c r="G35" s="25" t="n">
        <v>4200</v>
      </c>
      <c r="H35" s="28" t="n">
        <v>0</v>
      </c>
      <c r="I35" s="25" t="n">
        <v>2500</v>
      </c>
    </row>
    <row r="36">
      <c r="A36" s="25" t="inlineStr">
        <is>
          <t>ORD-10358</t>
        </is>
      </c>
      <c r="B36" s="26" t="n">
        <v>45832</v>
      </c>
      <c r="C36" s="25" t="inlineStr">
        <is>
          <t>South</t>
        </is>
      </c>
      <c r="D36" s="25" t="inlineStr">
        <is>
          <t>Accessories</t>
        </is>
      </c>
      <c r="E36" s="25" t="inlineStr">
        <is>
          <t>Headphones</t>
        </is>
      </c>
      <c r="F36" s="25" t="n">
        <v>2</v>
      </c>
      <c r="G36" s="25" t="n">
        <v>4500</v>
      </c>
      <c r="H36" s="28" t="n">
        <v>0</v>
      </c>
      <c r="I36" s="25" t="n">
        <v>2600</v>
      </c>
    </row>
    <row r="37">
      <c r="A37" s="25" t="inlineStr">
        <is>
          <t>ORD-10151</t>
        </is>
      </c>
      <c r="B37" s="26" t="n">
        <v>45669</v>
      </c>
      <c r="C37" s="25" t="inlineStr">
        <is>
          <t>West</t>
        </is>
      </c>
      <c r="D37" s="25" t="inlineStr">
        <is>
          <t>Office Supplies</t>
        </is>
      </c>
      <c r="E37" s="25" t="inlineStr">
        <is>
          <t>Notebook Set</t>
        </is>
      </c>
      <c r="F37" s="25" t="n">
        <v>4</v>
      </c>
      <c r="G37" s="25" t="n">
        <v>450</v>
      </c>
      <c r="H37" s="28" t="n">
        <v>0</v>
      </c>
      <c r="I37" s="25" t="n">
        <v>190</v>
      </c>
    </row>
    <row r="38">
      <c r="A38" s="25" t="inlineStr">
        <is>
          <t>ORD-10892</t>
        </is>
      </c>
      <c r="B38" s="25" t="inlineStr">
        <is>
          <t>14-Jul-2025</t>
        </is>
      </c>
      <c r="C38" s="25" t="inlineStr">
        <is>
          <t>East</t>
        </is>
      </c>
      <c r="D38" s="25" t="inlineStr">
        <is>
          <t>Office Supplies</t>
        </is>
      </c>
      <c r="E38" s="25" t="inlineStr">
        <is>
          <t>Printer Paper Box</t>
        </is>
      </c>
      <c r="F38" s="25" t="n">
        <v>6</v>
      </c>
      <c r="G38" s="25" t="n">
        <v>1600</v>
      </c>
      <c r="H38" s="28" t="n">
        <v>0.05</v>
      </c>
      <c r="I38" s="25" t="n">
        <v>1050</v>
      </c>
    </row>
    <row r="39">
      <c r="A39" s="25" t="inlineStr">
        <is>
          <t>ORD-10616</t>
        </is>
      </c>
      <c r="B39" s="26" t="n">
        <v>46009</v>
      </c>
      <c r="C39" s="25" t="inlineStr">
        <is>
          <t>South</t>
        </is>
      </c>
      <c r="D39" s="25" t="inlineStr">
        <is>
          <t>Technology</t>
        </is>
      </c>
      <c r="E39" s="25" t="inlineStr">
        <is>
          <t>Wireless Mouse</t>
        </is>
      </c>
      <c r="F39" s="25" t="n">
        <v>5</v>
      </c>
      <c r="G39" s="25" t="n">
        <v>1200</v>
      </c>
      <c r="H39" s="28" t="n">
        <v>0.15</v>
      </c>
      <c r="I39" s="25" t="n">
        <v>650</v>
      </c>
    </row>
    <row r="40">
      <c r="A40" s="25" t="inlineStr">
        <is>
          <t>ORD-10949</t>
        </is>
      </c>
      <c r="B40" s="26" t="n">
        <v>45920</v>
      </c>
      <c r="C40" s="25" t="inlineStr">
        <is>
          <t>South</t>
        </is>
      </c>
      <c r="D40" s="25" t="inlineStr">
        <is>
          <t>Technology</t>
        </is>
      </c>
      <c r="E40" s="25" t="inlineStr">
        <is>
          <t>Wireless Mouse</t>
        </is>
      </c>
      <c r="F40" s="25" t="n">
        <v>5</v>
      </c>
      <c r="G40" s="25" t="n">
        <v>1200</v>
      </c>
      <c r="H40" s="28" t="n">
        <v>0.05</v>
      </c>
      <c r="I40" s="25" t="n">
        <v>650</v>
      </c>
    </row>
    <row r="41">
      <c r="A41" s="25" t="inlineStr">
        <is>
          <t>ORD-11173</t>
        </is>
      </c>
      <c r="B41" s="25" t="inlineStr">
        <is>
          <t>05-Dec-2025</t>
        </is>
      </c>
      <c r="C41" s="25" t="inlineStr">
        <is>
          <t>West</t>
        </is>
      </c>
      <c r="D41" s="25" t="inlineStr">
        <is>
          <t>Office Supplies</t>
        </is>
      </c>
      <c r="E41" s="25" t="inlineStr">
        <is>
          <t>Desk Organizer</t>
        </is>
      </c>
      <c r="F41" s="25" t="n">
        <v>5</v>
      </c>
      <c r="G41" s="25" t="n">
        <v>850</v>
      </c>
      <c r="H41" s="28" t="n">
        <v>0</v>
      </c>
      <c r="I41" s="25" t="n">
        <v>420</v>
      </c>
    </row>
    <row r="42">
      <c r="A42" s="25" t="inlineStr">
        <is>
          <t>ORD-10641</t>
        </is>
      </c>
      <c r="B42" s="26" t="n">
        <v>45928</v>
      </c>
      <c r="C42" s="25" t="inlineStr">
        <is>
          <t xml:space="preserve">South </t>
        </is>
      </c>
      <c r="D42" s="25" t="inlineStr">
        <is>
          <t>Office Supplies</t>
        </is>
      </c>
      <c r="E42" s="25" t="inlineStr">
        <is>
          <t>Desk Organizer</t>
        </is>
      </c>
      <c r="F42" s="25" t="n">
        <v>5</v>
      </c>
      <c r="G42" s="25" t="n">
        <v>850</v>
      </c>
      <c r="H42" s="28" t="n">
        <v>0.2</v>
      </c>
      <c r="I42" s="25" t="n">
        <v>420</v>
      </c>
    </row>
    <row r="43">
      <c r="A43" s="25" t="inlineStr">
        <is>
          <t>ORD-10950</t>
        </is>
      </c>
      <c r="B43" s="26" t="n">
        <v>45812</v>
      </c>
      <c r="C43" s="25" t="inlineStr">
        <is>
          <t>south</t>
        </is>
      </c>
      <c r="D43" s="25" t="inlineStr">
        <is>
          <t>Accessories</t>
        </is>
      </c>
      <c r="E43" s="25" t="inlineStr">
        <is>
          <t>USB-C Hub</t>
        </is>
      </c>
      <c r="F43" s="25" t="n">
        <v>4</v>
      </c>
      <c r="G43" s="25" t="n">
        <v>1800</v>
      </c>
      <c r="H43" s="28" t="n">
        <v>0</v>
      </c>
      <c r="I43" s="25" t="n">
        <v>980</v>
      </c>
    </row>
    <row r="44">
      <c r="A44" s="25" t="inlineStr">
        <is>
          <t>ORD-11152</t>
        </is>
      </c>
      <c r="B44" s="26" t="n">
        <v>45889</v>
      </c>
      <c r="C44" s="25" t="inlineStr">
        <is>
          <t>South</t>
        </is>
      </c>
      <c r="D44" s="25" t="inlineStr">
        <is>
          <t>Technology</t>
        </is>
      </c>
      <c r="E44" s="25" t="inlineStr">
        <is>
          <t>Mechanical Keyboard</t>
        </is>
      </c>
      <c r="F44" s="25" t="n">
        <v>1</v>
      </c>
      <c r="G44" s="25" t="n">
        <v>4200</v>
      </c>
      <c r="H44" s="28" t="n">
        <v>0</v>
      </c>
      <c r="I44" s="25" t="n">
        <v>2500</v>
      </c>
    </row>
    <row r="45">
      <c r="A45" s="25" t="inlineStr">
        <is>
          <t>ORD-10764</t>
        </is>
      </c>
      <c r="B45" s="25" t="inlineStr">
        <is>
          <t>10-May-2025</t>
        </is>
      </c>
      <c r="C45" s="25" t="inlineStr">
        <is>
          <t>West</t>
        </is>
      </c>
      <c r="D45" s="25" t="inlineStr">
        <is>
          <t>Technology</t>
        </is>
      </c>
      <c r="E45" s="25" t="inlineStr">
        <is>
          <t>Mechanical Keyboard</t>
        </is>
      </c>
      <c r="F45" s="25" t="n">
        <v>1</v>
      </c>
      <c r="G45" s="25" t="n">
        <v>4200</v>
      </c>
      <c r="H45" s="28" t="n">
        <v>0.15</v>
      </c>
      <c r="I45" s="25" t="n">
        <v>2500</v>
      </c>
    </row>
    <row r="46">
      <c r="A46" s="25" t="inlineStr">
        <is>
          <t>ORD-10279</t>
        </is>
      </c>
      <c r="B46" s="26" t="n">
        <v>45727</v>
      </c>
      <c r="C46" s="25" t="inlineStr">
        <is>
          <t>West</t>
        </is>
      </c>
      <c r="D46" s="25" t="inlineStr">
        <is>
          <t>Furniture</t>
        </is>
      </c>
      <c r="E46" s="25" t="inlineStr">
        <is>
          <t>Office Chair</t>
        </is>
      </c>
      <c r="F46" s="25" t="n">
        <v>1</v>
      </c>
      <c r="G46" s="25" t="n">
        <v>8500</v>
      </c>
      <c r="H46" s="28" t="n">
        <v>0.2</v>
      </c>
      <c r="I46" s="25" t="n">
        <v>5600</v>
      </c>
    </row>
    <row r="47">
      <c r="A47" s="25" t="inlineStr">
        <is>
          <t>ORD-10488</t>
        </is>
      </c>
      <c r="B47" s="26" t="n">
        <v>45662</v>
      </c>
      <c r="C47" s="25" t="inlineStr">
        <is>
          <t>SOUTH</t>
        </is>
      </c>
      <c r="D47" s="25" t="inlineStr">
        <is>
          <t>Technology</t>
        </is>
      </c>
      <c r="E47" s="25" t="inlineStr">
        <is>
          <t>Mechanical Keyboard</t>
        </is>
      </c>
      <c r="F47" s="25" t="n">
        <v>1</v>
      </c>
      <c r="G47" s="25" t="n">
        <v>4200</v>
      </c>
      <c r="H47" s="28" t="n">
        <v>0</v>
      </c>
      <c r="I47" s="25" t="n">
        <v>2500</v>
      </c>
    </row>
    <row r="48">
      <c r="A48" s="25" t="inlineStr">
        <is>
          <t>ORD-10072</t>
        </is>
      </c>
      <c r="B48" s="26" t="n">
        <v>45876</v>
      </c>
      <c r="C48" s="25" t="inlineStr">
        <is>
          <t>north</t>
        </is>
      </c>
      <c r="D48" s="25" t="inlineStr">
        <is>
          <t>Technology</t>
        </is>
      </c>
      <c r="E48" s="25" t="inlineStr">
        <is>
          <t>Mechanical Keyboard</t>
        </is>
      </c>
      <c r="F48" s="25" t="n">
        <v>3</v>
      </c>
      <c r="G48" s="25" t="n">
        <v>4200</v>
      </c>
      <c r="H48" s="28" t="n">
        <v>0.1</v>
      </c>
      <c r="I48" s="25" t="n">
        <v>2500</v>
      </c>
    </row>
    <row r="49">
      <c r="A49" s="25" t="inlineStr">
        <is>
          <t>ORD-10074</t>
        </is>
      </c>
      <c r="B49" s="26" t="n">
        <v>45925</v>
      </c>
      <c r="C49" s="25" t="inlineStr">
        <is>
          <t>South</t>
        </is>
      </c>
      <c r="D49" s="25" t="inlineStr">
        <is>
          <t>Office Supplies</t>
        </is>
      </c>
      <c r="E49" s="25" t="inlineStr">
        <is>
          <t>Notebook Set</t>
        </is>
      </c>
      <c r="F49" s="25" t="n">
        <v>2</v>
      </c>
      <c r="G49" s="25" t="n">
        <v>450</v>
      </c>
      <c r="H49" s="28" t="n">
        <v>0</v>
      </c>
      <c r="I49" s="25" t="n">
        <v>190</v>
      </c>
    </row>
    <row r="50">
      <c r="A50" s="25" t="inlineStr">
        <is>
          <t>ORD-10013</t>
        </is>
      </c>
      <c r="B50" s="26" t="n">
        <v>45858</v>
      </c>
      <c r="C50" s="25" t="inlineStr">
        <is>
          <t>East</t>
        </is>
      </c>
      <c r="D50" s="25" t="inlineStr">
        <is>
          <t>Accessories</t>
        </is>
      </c>
      <c r="E50" s="25" t="inlineStr">
        <is>
          <t>USB-C Hub</t>
        </is>
      </c>
      <c r="F50" s="25" t="n">
        <v>3</v>
      </c>
      <c r="G50" s="25" t="n">
        <v>1800</v>
      </c>
      <c r="H50" s="28" t="n">
        <v>0</v>
      </c>
      <c r="I50" s="25" t="n">
        <v>980</v>
      </c>
    </row>
    <row r="51">
      <c r="A51" s="25" t="inlineStr">
        <is>
          <t>ORD-10220</t>
        </is>
      </c>
      <c r="B51" s="26" t="n">
        <v>45943</v>
      </c>
      <c r="C51" s="25" t="inlineStr">
        <is>
          <t>North</t>
        </is>
      </c>
      <c r="D51" s="25" t="inlineStr">
        <is>
          <t>Furniture</t>
        </is>
      </c>
      <c r="E51" s="25" t="inlineStr">
        <is>
          <t>Standing Desk</t>
        </is>
      </c>
      <c r="F51" s="25" t="n">
        <v>1</v>
      </c>
      <c r="G51" s="25" t="n">
        <v>19500</v>
      </c>
      <c r="H51" s="28" t="n">
        <v>0.2</v>
      </c>
      <c r="I51" s="25" t="n">
        <v>13800</v>
      </c>
    </row>
    <row r="52">
      <c r="A52" s="25" t="inlineStr">
        <is>
          <t>ORD-11037</t>
        </is>
      </c>
      <c r="B52" s="26" t="n">
        <v>45762</v>
      </c>
      <c r="C52" s="25" t="inlineStr">
        <is>
          <t>West</t>
        </is>
      </c>
      <c r="D52" s="25" t="inlineStr">
        <is>
          <t>Accessories</t>
        </is>
      </c>
      <c r="E52" s="25" t="inlineStr">
        <is>
          <t>Webcam</t>
        </is>
      </c>
      <c r="F52" s="25" t="n">
        <v>2</v>
      </c>
      <c r="G52" s="25" t="n">
        <v>3200</v>
      </c>
      <c r="H52" s="28" t="n">
        <v>0.1</v>
      </c>
      <c r="I52" s="25" t="n">
        <v>1900</v>
      </c>
    </row>
    <row r="53">
      <c r="A53" s="25" t="inlineStr">
        <is>
          <t>ORD-10183</t>
        </is>
      </c>
      <c r="B53" s="26" t="n">
        <v>46015</v>
      </c>
      <c r="C53" s="25" t="inlineStr">
        <is>
          <t>north</t>
        </is>
      </c>
      <c r="D53" s="25" t="inlineStr">
        <is>
          <t>Technology</t>
        </is>
      </c>
      <c r="E53" s="25" t="inlineStr">
        <is>
          <t>Monitor 24"</t>
        </is>
      </c>
      <c r="F53" s="25" t="n">
        <v>1</v>
      </c>
      <c r="G53" s="25" t="n">
        <v>11500</v>
      </c>
      <c r="H53" s="28" t="n">
        <v>0</v>
      </c>
      <c r="I53" s="25" t="n">
        <v>8200</v>
      </c>
    </row>
    <row r="54">
      <c r="A54" s="25" t="inlineStr">
        <is>
          <t>ORD-10094</t>
        </is>
      </c>
      <c r="B54" s="26" t="n">
        <v>45969</v>
      </c>
      <c r="C54" s="25" t="inlineStr">
        <is>
          <t>West</t>
        </is>
      </c>
      <c r="D54" s="25" t="inlineStr">
        <is>
          <t>Office Supplies</t>
        </is>
      </c>
      <c r="E54" s="25" t="inlineStr">
        <is>
          <t>Printer Paper Box</t>
        </is>
      </c>
      <c r="F54" s="25" t="n">
        <v>2</v>
      </c>
      <c r="G54" s="25" t="n">
        <v>1600</v>
      </c>
      <c r="H54" s="28" t="n">
        <v>0</v>
      </c>
      <c r="I54" s="25" t="n">
        <v>1050</v>
      </c>
    </row>
    <row r="55">
      <c r="A55" s="25" t="inlineStr">
        <is>
          <t>ORD-10379</t>
        </is>
      </c>
      <c r="B55" s="26" t="n">
        <v>45910</v>
      </c>
      <c r="C55" s="25" t="inlineStr">
        <is>
          <t>West</t>
        </is>
      </c>
      <c r="D55" s="25" t="inlineStr">
        <is>
          <t>Office Supplies</t>
        </is>
      </c>
      <c r="E55" s="25" t="inlineStr">
        <is>
          <t>Notebook Set</t>
        </is>
      </c>
      <c r="F55" s="25" t="n">
        <v>7</v>
      </c>
      <c r="G55" s="25" t="n">
        <v>450</v>
      </c>
      <c r="H55" s="28" t="n">
        <v>0.15</v>
      </c>
      <c r="I55" s="25" t="n">
        <v>190</v>
      </c>
    </row>
    <row r="56">
      <c r="A56" s="25" t="inlineStr">
        <is>
          <t>ORD-10440</t>
        </is>
      </c>
      <c r="B56" s="25" t="inlineStr">
        <is>
          <t>20-Jan-2025</t>
        </is>
      </c>
      <c r="C56" s="25" t="inlineStr">
        <is>
          <t>East</t>
        </is>
      </c>
      <c r="D56" s="25" t="inlineStr">
        <is>
          <t>Technology</t>
        </is>
      </c>
      <c r="E56" s="25" t="inlineStr">
        <is>
          <t>Wireless Mouse</t>
        </is>
      </c>
      <c r="F56" s="25" t="n">
        <v>4</v>
      </c>
      <c r="G56" s="25" t="n">
        <v>1200</v>
      </c>
      <c r="H56" s="28" t="n">
        <v>0</v>
      </c>
      <c r="I56" s="25" t="n">
        <v>650</v>
      </c>
    </row>
    <row r="57">
      <c r="A57" s="25" t="inlineStr">
        <is>
          <t>ORD-10752</t>
        </is>
      </c>
      <c r="B57" s="26" t="n">
        <v>45685</v>
      </c>
      <c r="C57" s="25" t="inlineStr">
        <is>
          <t>South</t>
        </is>
      </c>
      <c r="D57" s="25" t="inlineStr">
        <is>
          <t>Technology</t>
        </is>
      </c>
      <c r="E57" s="25" t="inlineStr">
        <is>
          <t>Monitor 24"</t>
        </is>
      </c>
      <c r="F57" s="25" t="n">
        <v>1</v>
      </c>
      <c r="G57" s="25" t="n">
        <v>11500</v>
      </c>
      <c r="H57" s="28" t="n">
        <v>0.2</v>
      </c>
      <c r="I57" s="25" t="n">
        <v>8200</v>
      </c>
    </row>
    <row r="58">
      <c r="A58" s="25" t="inlineStr">
        <is>
          <t>ORD-11080</t>
        </is>
      </c>
      <c r="B58" s="26" t="n">
        <v>45849</v>
      </c>
      <c r="C58" s="25" t="inlineStr">
        <is>
          <t>West</t>
        </is>
      </c>
      <c r="D58" s="25" t="inlineStr">
        <is>
          <t>Office Supplies</t>
        </is>
      </c>
      <c r="E58" s="25" t="inlineStr">
        <is>
          <t>Desk Organizer</t>
        </is>
      </c>
      <c r="F58" s="25" t="n">
        <v>5</v>
      </c>
      <c r="G58" s="25" t="n">
        <v>850</v>
      </c>
      <c r="H58" s="28" t="n">
        <v>0</v>
      </c>
      <c r="I58" s="25" t="n">
        <v>420</v>
      </c>
    </row>
    <row r="59">
      <c r="A59" s="25" t="inlineStr">
        <is>
          <t>ORD-10153</t>
        </is>
      </c>
      <c r="B59" s="26" t="n">
        <v>45937</v>
      </c>
      <c r="C59" s="25" t="inlineStr">
        <is>
          <t>North</t>
        </is>
      </c>
      <c r="D59" s="25" t="inlineStr">
        <is>
          <t>Accessories</t>
        </is>
      </c>
      <c r="E59" s="25" t="inlineStr">
        <is>
          <t>Headphones</t>
        </is>
      </c>
      <c r="F59" s="25" t="n">
        <v>1</v>
      </c>
      <c r="G59" s="25" t="n">
        <v>4500</v>
      </c>
      <c r="H59" s="28" t="n">
        <v>0</v>
      </c>
      <c r="I59" s="25" t="n">
        <v>2600</v>
      </c>
    </row>
    <row r="60">
      <c r="A60" s="25" t="inlineStr">
        <is>
          <t>ORD-10960</t>
        </is>
      </c>
      <c r="B60" s="26" t="n">
        <v>45835</v>
      </c>
      <c r="C60" s="25" t="inlineStr">
        <is>
          <t>North</t>
        </is>
      </c>
      <c r="D60" s="25" t="inlineStr">
        <is>
          <t>Office Supplies</t>
        </is>
      </c>
      <c r="E60" s="25" t="inlineStr">
        <is>
          <t>Notebook Set</t>
        </is>
      </c>
      <c r="F60" s="25" t="n">
        <v>3</v>
      </c>
      <c r="G60" s="25" t="n">
        <v>450</v>
      </c>
      <c r="H60" s="28" t="n">
        <v>0.05</v>
      </c>
      <c r="I60" s="25" t="n">
        <v>190</v>
      </c>
    </row>
    <row r="61">
      <c r="A61" s="25" t="inlineStr">
        <is>
          <t>ORD-10729</t>
        </is>
      </c>
      <c r="B61" s="26" t="n">
        <v>45957</v>
      </c>
      <c r="C61" s="25" t="inlineStr">
        <is>
          <t>West</t>
        </is>
      </c>
      <c r="D61" s="25" t="inlineStr">
        <is>
          <t>Office Supplies</t>
        </is>
      </c>
      <c r="E61" s="25" t="inlineStr">
        <is>
          <t>Desk Organizer</t>
        </is>
      </c>
      <c r="F61" s="25" t="n">
        <v>1</v>
      </c>
      <c r="G61" s="25" t="n">
        <v>850</v>
      </c>
      <c r="H61" s="28" t="n">
        <v>0.2</v>
      </c>
      <c r="I61" s="25" t="n">
        <v>420</v>
      </c>
    </row>
    <row r="62">
      <c r="A62" s="25" t="inlineStr">
        <is>
          <t>ORD-10016</t>
        </is>
      </c>
      <c r="B62" s="26" t="n">
        <v>45915</v>
      </c>
      <c r="C62" s="25" t="inlineStr">
        <is>
          <t>SOUTH</t>
        </is>
      </c>
      <c r="D62" s="25" t="inlineStr">
        <is>
          <t>Technology</t>
        </is>
      </c>
      <c r="E62" s="25" t="inlineStr">
        <is>
          <t>Wireless Mouse</t>
        </is>
      </c>
      <c r="F62" s="25" t="n">
        <v>3</v>
      </c>
      <c r="G62" s="25" t="n">
        <v>1200</v>
      </c>
      <c r="H62" s="28" t="n">
        <v>0</v>
      </c>
      <c r="I62" s="25" t="n">
        <v>650</v>
      </c>
    </row>
    <row r="63">
      <c r="A63" s="25" t="inlineStr">
        <is>
          <t>ORD-10561</t>
        </is>
      </c>
      <c r="B63" s="25" t="inlineStr">
        <is>
          <t>21-Dec-2025</t>
        </is>
      </c>
      <c r="C63" s="25" t="inlineStr">
        <is>
          <t>East</t>
        </is>
      </c>
      <c r="D63" s="25" t="inlineStr">
        <is>
          <t>Accessories</t>
        </is>
      </c>
      <c r="E63" s="25" t="inlineStr">
        <is>
          <t>Headphones</t>
        </is>
      </c>
      <c r="F63" s="25" t="n">
        <v>2</v>
      </c>
      <c r="G63" s="25" t="n">
        <v>4500</v>
      </c>
      <c r="H63" s="28" t="n">
        <v>0.1</v>
      </c>
      <c r="I63" s="25" t="n">
        <v>2600</v>
      </c>
    </row>
    <row r="64">
      <c r="A64" s="25" t="inlineStr">
        <is>
          <t>ORD-10894</t>
        </is>
      </c>
      <c r="B64" s="26" t="n">
        <v>45919</v>
      </c>
      <c r="C64" s="25" t="inlineStr">
        <is>
          <t>North</t>
        </is>
      </c>
      <c r="D64" s="25" t="inlineStr">
        <is>
          <t>Office Supplies</t>
        </is>
      </c>
      <c r="E64" s="25" t="inlineStr">
        <is>
          <t>Printer Paper Box</t>
        </is>
      </c>
      <c r="F64" s="25" t="n">
        <v>5</v>
      </c>
      <c r="G64" s="25" t="n">
        <v>1600</v>
      </c>
      <c r="H64" s="28" t="n">
        <v>0.2</v>
      </c>
      <c r="I64" s="25" t="n">
        <v>1050</v>
      </c>
    </row>
    <row r="65">
      <c r="A65" s="25" t="inlineStr">
        <is>
          <t>ORD-11145</t>
        </is>
      </c>
      <c r="B65" s="26" t="n">
        <v>45845</v>
      </c>
      <c r="C65" s="25" t="inlineStr">
        <is>
          <t xml:space="preserve">South </t>
        </is>
      </c>
      <c r="D65" s="25" t="inlineStr">
        <is>
          <t>Technology</t>
        </is>
      </c>
      <c r="E65" s="25" t="inlineStr">
        <is>
          <t>Wireless Mouse</t>
        </is>
      </c>
      <c r="F65" s="25" t="n">
        <v>5</v>
      </c>
      <c r="G65" s="25" t="n">
        <v>1200</v>
      </c>
      <c r="H65" s="28" t="n">
        <v>0.1</v>
      </c>
      <c r="I65" s="25" t="n">
        <v>650</v>
      </c>
    </row>
    <row r="66">
      <c r="A66" s="25" t="inlineStr">
        <is>
          <t>ORD-10899</t>
        </is>
      </c>
      <c r="B66" s="26" t="n">
        <v>45943</v>
      </c>
      <c r="C66" s="25" t="inlineStr">
        <is>
          <t>West</t>
        </is>
      </c>
      <c r="D66" s="25" t="inlineStr">
        <is>
          <t>Furniture</t>
        </is>
      </c>
      <c r="E66" s="25" t="inlineStr">
        <is>
          <t>Standing Desk</t>
        </is>
      </c>
      <c r="F66" s="25" t="n">
        <v>2</v>
      </c>
      <c r="G66" s="25" t="n">
        <v>19500</v>
      </c>
      <c r="H66" s="28" t="n">
        <v>0.2</v>
      </c>
      <c r="I66" s="25" t="n">
        <v>13800</v>
      </c>
    </row>
    <row r="67">
      <c r="A67" s="25" t="inlineStr">
        <is>
          <t>ORD-11067</t>
        </is>
      </c>
      <c r="B67" s="26" t="n">
        <v>45873</v>
      </c>
      <c r="C67" s="25" t="inlineStr">
        <is>
          <t>North</t>
        </is>
      </c>
      <c r="D67" s="25" t="inlineStr">
        <is>
          <t>Office Supplies</t>
        </is>
      </c>
      <c r="E67" s="25" t="inlineStr">
        <is>
          <t>Notebook Set</t>
        </is>
      </c>
      <c r="F67" s="25" t="n">
        <v>4</v>
      </c>
      <c r="G67" s="25" t="n">
        <v>450</v>
      </c>
      <c r="H67" s="28" t="n">
        <v>0.15</v>
      </c>
      <c r="I67" s="25" t="n">
        <v>190</v>
      </c>
    </row>
    <row r="68">
      <c r="A68" s="25" t="inlineStr">
        <is>
          <t>ORD-10387</t>
        </is>
      </c>
      <c r="B68" s="25" t="inlineStr">
        <is>
          <t>27-Mar-2025</t>
        </is>
      </c>
      <c r="C68" s="25" t="inlineStr">
        <is>
          <t>South</t>
        </is>
      </c>
      <c r="D68" s="25" t="inlineStr">
        <is>
          <t>Office Supplies</t>
        </is>
      </c>
      <c r="E68" s="25" t="inlineStr">
        <is>
          <t>Notebook Set</t>
        </is>
      </c>
      <c r="F68" s="25" t="n">
        <v>2</v>
      </c>
      <c r="G68" s="25" t="n">
        <v>450</v>
      </c>
      <c r="H68" s="28" t="n">
        <v>0.15</v>
      </c>
      <c r="I68" s="25" t="n">
        <v>190</v>
      </c>
    </row>
    <row r="69">
      <c r="A69" s="25" t="inlineStr">
        <is>
          <t>ORD-11006</t>
        </is>
      </c>
      <c r="B69" s="25" t="inlineStr">
        <is>
          <t>10-Jan-2025</t>
        </is>
      </c>
      <c r="C69" s="25" t="inlineStr">
        <is>
          <t>North</t>
        </is>
      </c>
      <c r="D69" s="25" t="inlineStr">
        <is>
          <t>Furniture</t>
        </is>
      </c>
      <c r="E69" s="25" t="inlineStr">
        <is>
          <t>Standing Desk</t>
        </is>
      </c>
      <c r="F69" s="25" t="n">
        <v>2</v>
      </c>
      <c r="G69" s="25" t="n">
        <v>19500</v>
      </c>
      <c r="H69" s="28" t="n">
        <v>0.2</v>
      </c>
      <c r="I69" s="25" t="n">
        <v>13800</v>
      </c>
    </row>
    <row r="70">
      <c r="A70" s="25" t="inlineStr">
        <is>
          <t>ORD-10038</t>
        </is>
      </c>
      <c r="B70" s="26" t="n">
        <v>45946</v>
      </c>
      <c r="C70" s="25" t="inlineStr">
        <is>
          <t>West</t>
        </is>
      </c>
      <c r="D70" s="25" t="inlineStr">
        <is>
          <t>Office Supplies</t>
        </is>
      </c>
      <c r="E70" s="25" t="inlineStr">
        <is>
          <t>Desk Organizer</t>
        </is>
      </c>
      <c r="F70" s="25" t="n">
        <v>1</v>
      </c>
      <c r="G70" s="25" t="n">
        <v>850</v>
      </c>
      <c r="H70" s="28" t="n">
        <v>0</v>
      </c>
      <c r="I70" s="25" t="n">
        <v>420</v>
      </c>
    </row>
    <row r="71">
      <c r="A71" s="25" t="inlineStr">
        <is>
          <t>ORD-10230</t>
        </is>
      </c>
      <c r="B71" s="26" t="n">
        <v>45678</v>
      </c>
      <c r="C71" s="25" t="inlineStr">
        <is>
          <t>West</t>
        </is>
      </c>
      <c r="D71" s="25" t="inlineStr">
        <is>
          <t>Furniture</t>
        </is>
      </c>
      <c r="E71" s="25" t="inlineStr">
        <is>
          <t>Bookshelf</t>
        </is>
      </c>
      <c r="F71" s="25" t="n">
        <v>1</v>
      </c>
      <c r="G71" s="25" t="n">
        <v>6200</v>
      </c>
      <c r="H71" s="28" t="n">
        <v>0.2</v>
      </c>
      <c r="I71" s="25" t="n">
        <v>4100</v>
      </c>
    </row>
    <row r="72">
      <c r="A72" s="25" t="inlineStr">
        <is>
          <t>ORD-10435</t>
        </is>
      </c>
      <c r="B72" s="26" t="n">
        <v>45967</v>
      </c>
      <c r="C72" s="25" t="inlineStr">
        <is>
          <t>South</t>
        </is>
      </c>
      <c r="D72" s="25" t="inlineStr">
        <is>
          <t>Accessories</t>
        </is>
      </c>
      <c r="E72" s="25" t="inlineStr">
        <is>
          <t>Headphones</t>
        </is>
      </c>
      <c r="F72" s="25" t="n">
        <v>2</v>
      </c>
      <c r="G72" s="25" t="n">
        <v>4500</v>
      </c>
      <c r="H72" s="28" t="n">
        <v>0.2</v>
      </c>
      <c r="I72" s="25" t="n">
        <v>2600</v>
      </c>
    </row>
    <row r="73">
      <c r="A73" s="25" t="inlineStr">
        <is>
          <t>ORD-10811</t>
        </is>
      </c>
      <c r="B73" s="26" t="n">
        <v>45846</v>
      </c>
      <c r="C73" s="25" t="inlineStr">
        <is>
          <t>East</t>
        </is>
      </c>
      <c r="D73" s="25" t="inlineStr">
        <is>
          <t>Furniture</t>
        </is>
      </c>
      <c r="E73" s="25" t="inlineStr">
        <is>
          <t>Standing Desk</t>
        </is>
      </c>
      <c r="F73" s="25" t="n">
        <v>2</v>
      </c>
      <c r="G73" s="25" t="n">
        <v>19500</v>
      </c>
      <c r="H73" s="28" t="n">
        <v>0.1</v>
      </c>
      <c r="I73" s="25" t="n">
        <v>13800</v>
      </c>
    </row>
    <row r="74">
      <c r="A74" s="25" t="inlineStr">
        <is>
          <t>ORD-10716</t>
        </is>
      </c>
      <c r="B74" s="26" t="n">
        <v>45854</v>
      </c>
      <c r="C74" s="25" t="inlineStr">
        <is>
          <t>North</t>
        </is>
      </c>
      <c r="D74" s="25" t="inlineStr">
        <is>
          <t>Office Supplies</t>
        </is>
      </c>
      <c r="E74" s="25" t="inlineStr">
        <is>
          <t>Notebook Set</t>
        </is>
      </c>
      <c r="F74" s="25" t="n">
        <v>5</v>
      </c>
      <c r="G74" s="25" t="n">
        <v>450</v>
      </c>
      <c r="H74" s="28" t="n">
        <v>0</v>
      </c>
      <c r="I74" s="25" t="n">
        <v>190</v>
      </c>
    </row>
    <row r="75">
      <c r="A75" s="25" t="inlineStr">
        <is>
          <t>ORD-10258</t>
        </is>
      </c>
      <c r="B75" s="26" t="n">
        <v>45677</v>
      </c>
      <c r="C75" s="25" t="inlineStr">
        <is>
          <t>South</t>
        </is>
      </c>
      <c r="D75" s="25" t="inlineStr">
        <is>
          <t>Furniture</t>
        </is>
      </c>
      <c r="E75" s="25" t="inlineStr">
        <is>
          <t>Office Chair</t>
        </is>
      </c>
      <c r="F75" s="25" t="n">
        <v>2</v>
      </c>
      <c r="G75" s="25" t="n">
        <v>8500</v>
      </c>
      <c r="H75" s="28" t="n">
        <v>0</v>
      </c>
      <c r="I75" s="25" t="n">
        <v>5600</v>
      </c>
    </row>
    <row r="76">
      <c r="A76" s="25" t="inlineStr">
        <is>
          <t>ORD-11045</t>
        </is>
      </c>
      <c r="B76" s="26" t="n">
        <v>45974</v>
      </c>
      <c r="C76" s="25" t="inlineStr">
        <is>
          <t>West</t>
        </is>
      </c>
      <c r="D76" s="25" t="inlineStr">
        <is>
          <t>Technology</t>
        </is>
      </c>
      <c r="E76" s="25" t="inlineStr">
        <is>
          <t>Monitor 24"</t>
        </is>
      </c>
      <c r="F76" s="25" t="n">
        <v>1</v>
      </c>
      <c r="G76" s="25" t="n">
        <v>11500</v>
      </c>
      <c r="H76" s="28" t="n">
        <v>0.2</v>
      </c>
      <c r="I76" s="25" t="n">
        <v>8200</v>
      </c>
    </row>
    <row r="77">
      <c r="A77" s="25" t="inlineStr">
        <is>
          <t>ORD-10720</t>
        </is>
      </c>
      <c r="B77" s="26" t="n">
        <v>45763</v>
      </c>
      <c r="C77" s="25" t="inlineStr">
        <is>
          <t>South</t>
        </is>
      </c>
      <c r="D77" s="25" t="inlineStr">
        <is>
          <t>Office Supplies</t>
        </is>
      </c>
      <c r="E77" s="25" t="inlineStr">
        <is>
          <t>Desk Organizer</t>
        </is>
      </c>
      <c r="F77" s="25" t="n">
        <v>4</v>
      </c>
      <c r="G77" s="25" t="n">
        <v>850</v>
      </c>
      <c r="H77" s="28" t="n">
        <v>0.2</v>
      </c>
      <c r="I77" s="25" t="n">
        <v>420</v>
      </c>
    </row>
    <row r="78">
      <c r="A78" s="25" t="inlineStr">
        <is>
          <t>ORD-10110</t>
        </is>
      </c>
      <c r="B78" s="26" t="n">
        <v>45904</v>
      </c>
      <c r="C78" s="25" t="inlineStr">
        <is>
          <t>East</t>
        </is>
      </c>
      <c r="D78" s="25" t="inlineStr">
        <is>
          <t>Accessories</t>
        </is>
      </c>
      <c r="E78" s="25" t="inlineStr">
        <is>
          <t>USB-C Hub</t>
        </is>
      </c>
      <c r="F78" s="25" t="n">
        <v>3</v>
      </c>
      <c r="G78" s="25" t="n">
        <v>1800</v>
      </c>
      <c r="H78" s="28" t="n">
        <v>0.05</v>
      </c>
      <c r="I78" s="25" t="n">
        <v>980</v>
      </c>
    </row>
    <row r="79">
      <c r="A79" s="25" t="inlineStr">
        <is>
          <t>ORD-10708</t>
        </is>
      </c>
      <c r="B79" s="25" t="inlineStr">
        <is>
          <t>19-Aug-2025</t>
        </is>
      </c>
      <c r="C79" s="25" t="inlineStr">
        <is>
          <t>South</t>
        </is>
      </c>
      <c r="D79" s="25" t="inlineStr">
        <is>
          <t>Accessories</t>
        </is>
      </c>
      <c r="E79" s="25" t="inlineStr">
        <is>
          <t>Headphones</t>
        </is>
      </c>
      <c r="F79" s="25" t="n">
        <v>1</v>
      </c>
      <c r="G79" s="25" t="n">
        <v>4500</v>
      </c>
      <c r="H79" s="28" t="n">
        <v>0.1</v>
      </c>
      <c r="I79" s="25" t="n">
        <v>2600</v>
      </c>
    </row>
    <row r="80">
      <c r="A80" s="25" t="inlineStr">
        <is>
          <t>ORD-11196</t>
        </is>
      </c>
      <c r="B80" s="26" t="n">
        <v>45835</v>
      </c>
      <c r="C80" s="25" t="inlineStr">
        <is>
          <t>South</t>
        </is>
      </c>
      <c r="D80" s="25" t="inlineStr">
        <is>
          <t>Technology</t>
        </is>
      </c>
      <c r="E80" s="25" t="inlineStr">
        <is>
          <t>Wireless Mouse</t>
        </is>
      </c>
      <c r="F80" s="25" t="n">
        <v>2</v>
      </c>
      <c r="G80" s="25" t="n">
        <v>1200</v>
      </c>
      <c r="H80" s="28" t="n">
        <v>0.2</v>
      </c>
      <c r="I80" s="25" t="n">
        <v>650</v>
      </c>
    </row>
    <row r="81">
      <c r="A81" s="25" t="inlineStr">
        <is>
          <t>ORD-11014</t>
        </is>
      </c>
      <c r="B81" s="26" t="n">
        <v>45943</v>
      </c>
      <c r="C81" s="25" t="inlineStr">
        <is>
          <t>West</t>
        </is>
      </c>
      <c r="D81" s="25" t="inlineStr">
        <is>
          <t>Accessories</t>
        </is>
      </c>
      <c r="E81" s="25" t="inlineStr">
        <is>
          <t>Headphones</t>
        </is>
      </c>
      <c r="F81" s="25" t="n">
        <v>3</v>
      </c>
      <c r="G81" s="25" t="n">
        <v>4500</v>
      </c>
      <c r="H81" s="28" t="n">
        <v>0.2</v>
      </c>
      <c r="I81" s="25" t="n">
        <v>2600</v>
      </c>
    </row>
    <row r="82">
      <c r="A82" s="25" t="inlineStr">
        <is>
          <t>ORD-11171</t>
        </is>
      </c>
      <c r="B82" s="26" t="n">
        <v>45936</v>
      </c>
      <c r="C82" s="25" t="inlineStr">
        <is>
          <t>West</t>
        </is>
      </c>
      <c r="D82" s="25" t="inlineStr">
        <is>
          <t>Furniture</t>
        </is>
      </c>
      <c r="E82" s="25" t="inlineStr">
        <is>
          <t>Standing Desk</t>
        </is>
      </c>
      <c r="F82" s="25" t="n">
        <v>2</v>
      </c>
      <c r="G82" s="25" t="n">
        <v>19500</v>
      </c>
      <c r="H82" s="28" t="n">
        <v>0</v>
      </c>
      <c r="I82" s="25" t="n">
        <v>13800</v>
      </c>
    </row>
    <row r="83">
      <c r="A83" s="25" t="inlineStr">
        <is>
          <t>ORD-10505</t>
        </is>
      </c>
      <c r="B83" s="26" t="n">
        <v>45752</v>
      </c>
      <c r="C83" s="25" t="inlineStr">
        <is>
          <t>South</t>
        </is>
      </c>
      <c r="D83" s="25" t="inlineStr">
        <is>
          <t>Office Supplies</t>
        </is>
      </c>
      <c r="E83" s="25" t="inlineStr">
        <is>
          <t>Notebook Set</t>
        </is>
      </c>
      <c r="F83" s="25" t="n">
        <v>6</v>
      </c>
      <c r="G83" s="25" t="n">
        <v>450</v>
      </c>
      <c r="H83" s="28" t="n">
        <v>0.2</v>
      </c>
      <c r="I83" s="25" t="n">
        <v>190</v>
      </c>
    </row>
    <row r="84">
      <c r="A84" s="25" t="inlineStr">
        <is>
          <t>ORD-10885</t>
        </is>
      </c>
      <c r="B84" s="26" t="n">
        <v>45834</v>
      </c>
      <c r="C84" s="25" t="inlineStr">
        <is>
          <t>South</t>
        </is>
      </c>
      <c r="D84" s="25" t="inlineStr">
        <is>
          <t>Technology</t>
        </is>
      </c>
      <c r="E84" s="25" t="inlineStr">
        <is>
          <t>Monitor 24"</t>
        </is>
      </c>
      <c r="F84" s="25" t="n">
        <v>1</v>
      </c>
      <c r="G84" s="25" t="n">
        <v>11500</v>
      </c>
      <c r="H84" s="28" t="n">
        <v>0</v>
      </c>
      <c r="I84" s="25" t="n">
        <v>8200</v>
      </c>
    </row>
    <row r="85">
      <c r="A85" s="25" t="inlineStr">
        <is>
          <t>ORD-10274</t>
        </is>
      </c>
      <c r="B85" s="26" t="n">
        <v>45690</v>
      </c>
      <c r="C85" s="25" t="inlineStr">
        <is>
          <t xml:space="preserve">West </t>
        </is>
      </c>
      <c r="D85" s="25" t="inlineStr">
        <is>
          <t>Office Supplies</t>
        </is>
      </c>
      <c r="E85" s="25" t="inlineStr">
        <is>
          <t>Desk Organizer</t>
        </is>
      </c>
      <c r="F85" s="25" t="n">
        <v>5</v>
      </c>
      <c r="G85" s="25" t="n">
        <v>850</v>
      </c>
      <c r="H85" s="28" t="n">
        <v>0.1</v>
      </c>
      <c r="I85" s="25" t="n">
        <v>420</v>
      </c>
    </row>
    <row r="86">
      <c r="A86" s="25" t="inlineStr">
        <is>
          <t>ORD-10261</t>
        </is>
      </c>
      <c r="B86" s="26" t="n">
        <v>45926</v>
      </c>
      <c r="C86" s="25" t="inlineStr">
        <is>
          <t>East</t>
        </is>
      </c>
      <c r="D86" s="25" t="inlineStr">
        <is>
          <t>Technology</t>
        </is>
      </c>
      <c r="E86" s="25" t="inlineStr">
        <is>
          <t>Monitor 24"</t>
        </is>
      </c>
      <c r="F86" s="25" t="n">
        <v>2</v>
      </c>
      <c r="G86" s="25" t="n">
        <v>11500</v>
      </c>
      <c r="H86" s="28" t="n">
        <v>0.05</v>
      </c>
      <c r="I86" s="25" t="n">
        <v>8200</v>
      </c>
    </row>
    <row r="87">
      <c r="A87" s="25" t="inlineStr">
        <is>
          <t>ORD-10841</t>
        </is>
      </c>
      <c r="B87" s="26" t="n">
        <v>45823</v>
      </c>
      <c r="C87" s="25" t="inlineStr">
        <is>
          <t>West</t>
        </is>
      </c>
      <c r="D87" s="25" t="inlineStr">
        <is>
          <t>Accessories</t>
        </is>
      </c>
      <c r="E87" s="25" t="inlineStr">
        <is>
          <t>Headphones</t>
        </is>
      </c>
      <c r="F87" s="25" t="n">
        <v>1</v>
      </c>
      <c r="G87" s="25" t="n">
        <v>4500</v>
      </c>
      <c r="H87" s="28" t="n">
        <v>0</v>
      </c>
      <c r="I87" s="25" t="n">
        <v>2600</v>
      </c>
    </row>
    <row r="88">
      <c r="A88" s="25" t="inlineStr">
        <is>
          <t>ORD-10673</t>
        </is>
      </c>
      <c r="B88" s="26" t="n">
        <v>45950</v>
      </c>
      <c r="C88" s="25" t="inlineStr">
        <is>
          <t>South</t>
        </is>
      </c>
      <c r="D88" s="25" t="inlineStr">
        <is>
          <t>Office Supplies</t>
        </is>
      </c>
      <c r="E88" s="25" t="inlineStr">
        <is>
          <t>Notebook Set</t>
        </is>
      </c>
      <c r="F88" s="25" t="n">
        <v>4</v>
      </c>
      <c r="G88" s="25" t="n">
        <v>450</v>
      </c>
      <c r="H88" s="28" t="n">
        <v>0.2</v>
      </c>
      <c r="I88" s="25" t="n">
        <v>190</v>
      </c>
    </row>
    <row r="89">
      <c r="A89" s="25" t="inlineStr">
        <is>
          <t>ORD-10494</t>
        </is>
      </c>
      <c r="B89" s="26" t="n">
        <v>45942</v>
      </c>
      <c r="C89" s="25" t="inlineStr">
        <is>
          <t>South</t>
        </is>
      </c>
      <c r="D89" s="25" t="inlineStr">
        <is>
          <t>Office Supplies</t>
        </is>
      </c>
      <c r="E89" s="25" t="inlineStr">
        <is>
          <t>Notebook Set</t>
        </is>
      </c>
      <c r="F89" s="25" t="n">
        <v>1</v>
      </c>
      <c r="G89" s="25" t="n">
        <v>450</v>
      </c>
      <c r="H89" s="28" t="n">
        <v>0</v>
      </c>
      <c r="I89" s="25" t="n">
        <v>190</v>
      </c>
    </row>
    <row r="90">
      <c r="A90" s="25" t="inlineStr">
        <is>
          <t>ORD-11055</t>
        </is>
      </c>
      <c r="B90" s="26" t="n">
        <v>45782</v>
      </c>
      <c r="C90" s="25" t="inlineStr">
        <is>
          <t>west</t>
        </is>
      </c>
      <c r="D90" s="25" t="inlineStr">
        <is>
          <t>Accessories</t>
        </is>
      </c>
      <c r="E90" s="25" t="inlineStr">
        <is>
          <t>Headphones</t>
        </is>
      </c>
      <c r="F90" s="25" t="n">
        <v>2</v>
      </c>
      <c r="G90" s="25" t="n">
        <v>4500</v>
      </c>
      <c r="H90" s="28" t="n">
        <v>0.05</v>
      </c>
      <c r="I90" s="25" t="n">
        <v>2600</v>
      </c>
    </row>
    <row r="91">
      <c r="A91" s="25" t="inlineStr">
        <is>
          <t>ORD-10827</t>
        </is>
      </c>
      <c r="B91" s="25" t="inlineStr">
        <is>
          <t>04-Apr-2025</t>
        </is>
      </c>
      <c r="C91" s="25" t="inlineStr">
        <is>
          <t>South</t>
        </is>
      </c>
      <c r="D91" s="25" t="inlineStr">
        <is>
          <t>Technology</t>
        </is>
      </c>
      <c r="E91" s="25" t="inlineStr">
        <is>
          <t>Monitor 24"</t>
        </is>
      </c>
      <c r="F91" s="25" t="n">
        <v>2</v>
      </c>
      <c r="G91" s="25" t="n">
        <v>11500</v>
      </c>
      <c r="H91" s="28" t="n">
        <v>0</v>
      </c>
      <c r="I91" s="25" t="n">
        <v>8200</v>
      </c>
    </row>
    <row r="92">
      <c r="A92" s="25" t="inlineStr">
        <is>
          <t>ORD-10613</t>
        </is>
      </c>
      <c r="B92" s="26" t="n">
        <v>45834</v>
      </c>
      <c r="C92" s="25" t="inlineStr">
        <is>
          <t>west</t>
        </is>
      </c>
      <c r="D92" s="25" t="inlineStr">
        <is>
          <t>Office Supplies</t>
        </is>
      </c>
      <c r="E92" s="25" t="inlineStr">
        <is>
          <t>Printer Paper Box</t>
        </is>
      </c>
      <c r="F92" s="25" t="n">
        <v>6</v>
      </c>
      <c r="G92" s="25" t="n">
        <v>1600</v>
      </c>
      <c r="H92" s="28" t="n">
        <v>0.2</v>
      </c>
      <c r="I92" s="25" t="n">
        <v>1050</v>
      </c>
    </row>
    <row r="93">
      <c r="A93" s="25" t="inlineStr">
        <is>
          <t>ORD-10166</t>
        </is>
      </c>
      <c r="B93" s="25" t="inlineStr">
        <is>
          <t>24-Jun-2025</t>
        </is>
      </c>
      <c r="C93" s="25" t="inlineStr">
        <is>
          <t>East</t>
        </is>
      </c>
      <c r="D93" s="25" t="inlineStr">
        <is>
          <t>Office Supplies</t>
        </is>
      </c>
      <c r="E93" s="25" t="inlineStr">
        <is>
          <t>Desk Organizer</t>
        </is>
      </c>
      <c r="F93" s="25" t="n">
        <v>5</v>
      </c>
      <c r="G93" s="25" t="n">
        <v>850</v>
      </c>
      <c r="H93" s="28" t="n">
        <v>0.05</v>
      </c>
      <c r="I93" s="25" t="n">
        <v>420</v>
      </c>
    </row>
    <row r="94">
      <c r="A94" s="25" t="inlineStr">
        <is>
          <t>ORD-10572</t>
        </is>
      </c>
      <c r="B94" s="25" t="inlineStr">
        <is>
          <t>02-Oct-2025</t>
        </is>
      </c>
      <c r="C94" s="25" t="inlineStr">
        <is>
          <t>EAST</t>
        </is>
      </c>
      <c r="D94" s="25" t="inlineStr">
        <is>
          <t>Office Supplies</t>
        </is>
      </c>
      <c r="E94" s="25" t="inlineStr">
        <is>
          <t>Printer Paper Box</t>
        </is>
      </c>
      <c r="F94" s="25" t="n">
        <v>5</v>
      </c>
      <c r="G94" s="25" t="n">
        <v>1600</v>
      </c>
      <c r="H94" s="28" t="n">
        <v>0.2</v>
      </c>
      <c r="I94" s="25" t="n">
        <v>1050</v>
      </c>
    </row>
    <row r="95">
      <c r="A95" s="25" t="inlineStr">
        <is>
          <t>ORD-10497</t>
        </is>
      </c>
      <c r="B95" s="25" t="inlineStr">
        <is>
          <t>09-May-2025</t>
        </is>
      </c>
      <c r="C95" s="25" t="inlineStr">
        <is>
          <t xml:space="preserve">West </t>
        </is>
      </c>
      <c r="D95" s="25" t="inlineStr">
        <is>
          <t>Office Supplies</t>
        </is>
      </c>
      <c r="E95" s="25" t="inlineStr">
        <is>
          <t>Printer Paper Box</t>
        </is>
      </c>
      <c r="F95" s="25" t="n">
        <v>6</v>
      </c>
      <c r="G95" s="25" t="n">
        <v>1600</v>
      </c>
      <c r="H95" s="28" t="n">
        <v>0.1</v>
      </c>
      <c r="I95" s="25" t="n">
        <v>1050</v>
      </c>
    </row>
    <row r="96">
      <c r="A96" s="25" t="inlineStr">
        <is>
          <t>ORD-10032</t>
        </is>
      </c>
      <c r="B96" s="26" t="n">
        <v>45979</v>
      </c>
      <c r="C96" s="25" t="inlineStr">
        <is>
          <t>North</t>
        </is>
      </c>
      <c r="D96" s="25" t="inlineStr">
        <is>
          <t>Technology</t>
        </is>
      </c>
      <c r="E96" s="25" t="inlineStr">
        <is>
          <t>Monitor 24"</t>
        </is>
      </c>
      <c r="F96" s="25" t="n">
        <v>2</v>
      </c>
      <c r="G96" s="25" t="n">
        <v>11500</v>
      </c>
      <c r="H96" s="28" t="n">
        <v>0.1</v>
      </c>
      <c r="I96" s="25" t="n">
        <v>8200</v>
      </c>
    </row>
    <row r="97">
      <c r="A97" s="25" t="inlineStr">
        <is>
          <t>ORD-10180</t>
        </is>
      </c>
      <c r="B97" s="26" t="n">
        <v>46015</v>
      </c>
      <c r="C97" s="25" t="inlineStr">
        <is>
          <t>South</t>
        </is>
      </c>
      <c r="D97" s="25" t="inlineStr">
        <is>
          <t>Office Supplies</t>
        </is>
      </c>
      <c r="E97" s="25" t="inlineStr">
        <is>
          <t>Printer Paper Box</t>
        </is>
      </c>
      <c r="F97" s="25" t="n">
        <v>5</v>
      </c>
      <c r="G97" s="25" t="n">
        <v>1600</v>
      </c>
      <c r="H97" s="28" t="n">
        <v>0.1</v>
      </c>
      <c r="I97" s="25" t="n">
        <v>1050</v>
      </c>
    </row>
    <row r="98">
      <c r="A98" s="25" t="inlineStr">
        <is>
          <t>ORD-11034</t>
        </is>
      </c>
      <c r="B98" s="25" t="inlineStr">
        <is>
          <t>24-Apr-2025</t>
        </is>
      </c>
      <c r="C98" s="25" t="inlineStr">
        <is>
          <t>North</t>
        </is>
      </c>
      <c r="D98" s="25" t="inlineStr">
        <is>
          <t>Technology</t>
        </is>
      </c>
      <c r="E98" s="25" t="inlineStr">
        <is>
          <t>Mechanical Keyboard</t>
        </is>
      </c>
      <c r="F98" s="25" t="n">
        <v>3</v>
      </c>
      <c r="G98" s="25" t="n">
        <v>4200</v>
      </c>
      <c r="H98" s="28" t="n">
        <v>0</v>
      </c>
      <c r="I98" s="25" t="n">
        <v>2500</v>
      </c>
    </row>
    <row r="99">
      <c r="A99" s="25" t="inlineStr">
        <is>
          <t>ORD-10614</t>
        </is>
      </c>
      <c r="B99" s="25" t="inlineStr">
        <is>
          <t>11-Jun-2025</t>
        </is>
      </c>
      <c r="C99" s="25" t="inlineStr">
        <is>
          <t>South</t>
        </is>
      </c>
      <c r="D99" s="25" t="inlineStr">
        <is>
          <t>Technology</t>
        </is>
      </c>
      <c r="E99" s="25" t="inlineStr">
        <is>
          <t>Mechanical Keyboard</t>
        </is>
      </c>
      <c r="F99" s="25" t="n">
        <v>1</v>
      </c>
      <c r="G99" s="25" t="n">
        <v>4200</v>
      </c>
      <c r="H99" s="28" t="n">
        <v>0.1</v>
      </c>
      <c r="I99" s="25" t="n">
        <v>2500</v>
      </c>
    </row>
    <row r="100">
      <c r="A100" s="25" t="inlineStr">
        <is>
          <t>ORD-10627</t>
        </is>
      </c>
      <c r="B100" s="26" t="n">
        <v>45700</v>
      </c>
      <c r="C100" s="25" t="inlineStr">
        <is>
          <t>East</t>
        </is>
      </c>
      <c r="D100" s="25" t="inlineStr">
        <is>
          <t>Furniture</t>
        </is>
      </c>
      <c r="E100" s="25" t="inlineStr">
        <is>
          <t>Bookshelf</t>
        </is>
      </c>
      <c r="F100" s="25" t="n">
        <v>1</v>
      </c>
      <c r="G100" s="25" t="n">
        <v>6200</v>
      </c>
      <c r="H100" s="28" t="n">
        <v>0.2</v>
      </c>
      <c r="I100" s="25" t="n">
        <v>4100</v>
      </c>
    </row>
    <row r="101">
      <c r="A101" s="25" t="inlineStr">
        <is>
          <t>ORD-10149</t>
        </is>
      </c>
      <c r="B101" s="25" t="inlineStr">
        <is>
          <t>27-Nov-2025</t>
        </is>
      </c>
      <c r="C101" s="25" t="inlineStr">
        <is>
          <t>West</t>
        </is>
      </c>
      <c r="D101" s="25" t="inlineStr">
        <is>
          <t>Technology</t>
        </is>
      </c>
      <c r="E101" s="25" t="inlineStr">
        <is>
          <t>Wireless Mouse</t>
        </is>
      </c>
      <c r="F101" s="25" t="n">
        <v>4</v>
      </c>
      <c r="G101" s="25" t="n">
        <v>1200</v>
      </c>
      <c r="H101" s="28" t="n">
        <v>0.05</v>
      </c>
      <c r="I101" s="25" t="n">
        <v>650</v>
      </c>
    </row>
    <row r="102">
      <c r="A102" s="25" t="inlineStr">
        <is>
          <t>ORD-10701</t>
        </is>
      </c>
      <c r="B102" s="26" t="n">
        <v>45738</v>
      </c>
      <c r="C102" s="25" t="inlineStr">
        <is>
          <t>North</t>
        </is>
      </c>
      <c r="D102" s="25" t="inlineStr">
        <is>
          <t>Technology</t>
        </is>
      </c>
      <c r="E102" s="25" t="inlineStr">
        <is>
          <t>Wireless Mouse</t>
        </is>
      </c>
      <c r="F102" s="25" t="n">
        <v>4</v>
      </c>
      <c r="G102" s="25" t="n"/>
      <c r="H102" s="28" t="n">
        <v>0.15</v>
      </c>
      <c r="I102" s="25" t="n">
        <v>650</v>
      </c>
    </row>
    <row r="103">
      <c r="A103" s="25" t="inlineStr">
        <is>
          <t>ORD-10745</t>
        </is>
      </c>
      <c r="B103" s="26" t="n">
        <v>45836</v>
      </c>
      <c r="C103" s="25" t="inlineStr">
        <is>
          <t>East</t>
        </is>
      </c>
      <c r="D103" s="25" t="inlineStr">
        <is>
          <t>Office Supplies</t>
        </is>
      </c>
      <c r="E103" s="25" t="inlineStr">
        <is>
          <t>Notebook Set</t>
        </is>
      </c>
      <c r="F103" s="25" t="n">
        <v>2</v>
      </c>
      <c r="G103" s="25" t="n">
        <v>450</v>
      </c>
      <c r="H103" s="28" t="n">
        <v>0.2</v>
      </c>
      <c r="I103" s="25" t="n">
        <v>190</v>
      </c>
    </row>
    <row r="104">
      <c r="A104" s="25" t="inlineStr">
        <is>
          <t>ORD-10188</t>
        </is>
      </c>
      <c r="B104" s="26" t="n">
        <v>45706</v>
      </c>
      <c r="C104" s="25" t="inlineStr">
        <is>
          <t>East</t>
        </is>
      </c>
      <c r="D104" s="25" t="inlineStr">
        <is>
          <t>Technology</t>
        </is>
      </c>
      <c r="E104" s="25" t="inlineStr">
        <is>
          <t>Mechanical Keyboard</t>
        </is>
      </c>
      <c r="F104" s="25" t="n">
        <v>2</v>
      </c>
      <c r="G104" s="25" t="n">
        <v>4200</v>
      </c>
      <c r="H104" s="28" t="n">
        <v>0</v>
      </c>
      <c r="I104" s="25" t="n">
        <v>2500</v>
      </c>
    </row>
    <row r="105">
      <c r="A105" s="25" t="inlineStr">
        <is>
          <t>ORD-10617</t>
        </is>
      </c>
      <c r="B105" s="25" t="inlineStr">
        <is>
          <t>07-Apr-2025</t>
        </is>
      </c>
      <c r="C105" s="25" t="inlineStr">
        <is>
          <t>South</t>
        </is>
      </c>
      <c r="D105" s="25" t="inlineStr">
        <is>
          <t>Furniture</t>
        </is>
      </c>
      <c r="E105" s="25" t="inlineStr">
        <is>
          <t>Office Chair</t>
        </is>
      </c>
      <c r="F105" s="25" t="n">
        <v>2</v>
      </c>
      <c r="G105" s="25" t="n">
        <v>8500</v>
      </c>
      <c r="H105" s="28" t="n">
        <v>0</v>
      </c>
      <c r="I105" s="25" t="n">
        <v>5600</v>
      </c>
    </row>
    <row r="106">
      <c r="A106" s="25" t="inlineStr">
        <is>
          <t>ORD-10001</t>
        </is>
      </c>
      <c r="B106" s="26" t="n">
        <v>45829</v>
      </c>
      <c r="C106" s="25" t="inlineStr">
        <is>
          <t>West</t>
        </is>
      </c>
      <c r="D106" s="25" t="inlineStr">
        <is>
          <t>Accessories</t>
        </is>
      </c>
      <c r="E106" s="25" t="inlineStr">
        <is>
          <t>Headphones</t>
        </is>
      </c>
      <c r="F106" s="25" t="n">
        <v>1</v>
      </c>
      <c r="G106" s="25" t="n">
        <v>4500</v>
      </c>
      <c r="H106" s="28" t="n">
        <v>0</v>
      </c>
      <c r="I106" s="25" t="n">
        <v>2600</v>
      </c>
    </row>
    <row r="107">
      <c r="A107" s="25" t="inlineStr">
        <is>
          <t>ORD-10376</t>
        </is>
      </c>
      <c r="B107" s="25" t="inlineStr">
        <is>
          <t>03-Feb-2025</t>
        </is>
      </c>
      <c r="C107" s="25" t="inlineStr">
        <is>
          <t xml:space="preserve"> North </t>
        </is>
      </c>
      <c r="D107" s="25" t="inlineStr">
        <is>
          <t>Accessories</t>
        </is>
      </c>
      <c r="E107" s="25" t="inlineStr">
        <is>
          <t>Headphones</t>
        </is>
      </c>
      <c r="F107" s="25" t="n">
        <v>3</v>
      </c>
      <c r="G107" s="25" t="n">
        <v>4500</v>
      </c>
      <c r="H107" s="28" t="n">
        <v>0</v>
      </c>
      <c r="I107" s="25" t="n">
        <v>2600</v>
      </c>
    </row>
    <row r="108">
      <c r="A108" s="25" t="inlineStr">
        <is>
          <t>ORD-10503</t>
        </is>
      </c>
      <c r="B108" s="26" t="n">
        <v>45972</v>
      </c>
      <c r="C108" s="25" t="inlineStr">
        <is>
          <t>West</t>
        </is>
      </c>
      <c r="D108" s="25" t="inlineStr">
        <is>
          <t>Office Supplies</t>
        </is>
      </c>
      <c r="E108" s="25" t="inlineStr">
        <is>
          <t>Printer Paper Box</t>
        </is>
      </c>
      <c r="F108" s="25" t="n">
        <v>5</v>
      </c>
      <c r="G108" s="25" t="n">
        <v>1600</v>
      </c>
      <c r="H108" s="28" t="n">
        <v>0.1</v>
      </c>
      <c r="I108" s="25" t="n">
        <v>1050</v>
      </c>
    </row>
    <row r="109">
      <c r="A109" s="25" t="inlineStr">
        <is>
          <t>ORD-10060</t>
        </is>
      </c>
      <c r="B109" s="26" t="n">
        <v>46019</v>
      </c>
      <c r="C109" s="25" t="inlineStr">
        <is>
          <t>South</t>
        </is>
      </c>
      <c r="D109" s="25" t="inlineStr">
        <is>
          <t>Office Supplies</t>
        </is>
      </c>
      <c r="E109" s="25" t="inlineStr">
        <is>
          <t>Notebook Set</t>
        </is>
      </c>
      <c r="F109" s="25" t="n">
        <v>4</v>
      </c>
      <c r="G109" s="25" t="n">
        <v>450</v>
      </c>
      <c r="H109" s="28" t="n">
        <v>0</v>
      </c>
      <c r="I109" s="25" t="n">
        <v>190</v>
      </c>
    </row>
    <row r="110">
      <c r="A110" s="25" t="inlineStr">
        <is>
          <t>ORD-10805</t>
        </is>
      </c>
      <c r="B110" s="25" t="inlineStr">
        <is>
          <t>03-Apr-2025</t>
        </is>
      </c>
      <c r="C110" s="25" t="inlineStr">
        <is>
          <t>South</t>
        </is>
      </c>
      <c r="D110" s="25" t="inlineStr">
        <is>
          <t>Office Supplies</t>
        </is>
      </c>
      <c r="E110" s="25" t="inlineStr">
        <is>
          <t>Notebook Set</t>
        </is>
      </c>
      <c r="F110" s="25" t="n">
        <v>6</v>
      </c>
      <c r="G110" s="25" t="n">
        <v>450</v>
      </c>
      <c r="H110" s="28" t="n">
        <v>0</v>
      </c>
      <c r="I110" s="25" t="n">
        <v>190</v>
      </c>
    </row>
    <row r="111">
      <c r="A111" s="25" t="inlineStr">
        <is>
          <t>ORD-10735</t>
        </is>
      </c>
      <c r="B111" s="26" t="n">
        <v>45967</v>
      </c>
      <c r="C111" s="25" t="inlineStr">
        <is>
          <t>South</t>
        </is>
      </c>
      <c r="D111" s="25" t="inlineStr">
        <is>
          <t>Accessories</t>
        </is>
      </c>
      <c r="E111" s="25" t="inlineStr">
        <is>
          <t>USB-C Hub</t>
        </is>
      </c>
      <c r="F111" s="25" t="n">
        <v>3</v>
      </c>
      <c r="G111" s="25" t="n">
        <v>1800</v>
      </c>
      <c r="H111" s="28" t="n">
        <v>0.05</v>
      </c>
      <c r="I111" s="25" t="n">
        <v>980</v>
      </c>
    </row>
    <row r="112">
      <c r="A112" s="25" t="inlineStr">
        <is>
          <t>ORD-10726</t>
        </is>
      </c>
      <c r="B112" s="26" t="n">
        <v>45894</v>
      </c>
      <c r="C112" s="25" t="inlineStr">
        <is>
          <t>South</t>
        </is>
      </c>
      <c r="D112" s="25" t="inlineStr">
        <is>
          <t>Office Supplies</t>
        </is>
      </c>
      <c r="E112" s="25" t="inlineStr">
        <is>
          <t>Printer Paper Box</t>
        </is>
      </c>
      <c r="F112" s="25" t="n">
        <v>1</v>
      </c>
      <c r="G112" s="25" t="n">
        <v>1600</v>
      </c>
      <c r="H112" s="28" t="n">
        <v>0.2</v>
      </c>
      <c r="I112" s="25" t="n">
        <v>1050</v>
      </c>
    </row>
    <row r="113">
      <c r="A113" s="25" t="inlineStr">
        <is>
          <t>ORD-10956</t>
        </is>
      </c>
      <c r="B113" s="25" t="inlineStr">
        <is>
          <t>09-May-2025</t>
        </is>
      </c>
      <c r="C113" s="25" t="inlineStr">
        <is>
          <t>South</t>
        </is>
      </c>
      <c r="D113" s="25" t="inlineStr">
        <is>
          <t>Accessories</t>
        </is>
      </c>
      <c r="E113" s="25" t="inlineStr">
        <is>
          <t>Webcam</t>
        </is>
      </c>
      <c r="F113" s="25" t="n">
        <v>2</v>
      </c>
      <c r="G113" s="25" t="n">
        <v>3200</v>
      </c>
      <c r="H113" s="28" t="n">
        <v>0.15</v>
      </c>
      <c r="I113" s="25" t="n">
        <v>1900</v>
      </c>
    </row>
    <row r="114">
      <c r="A114" s="25" t="inlineStr">
        <is>
          <t>ORD-11081</t>
        </is>
      </c>
      <c r="B114" s="25" t="inlineStr">
        <is>
          <t>21-Sep-2025</t>
        </is>
      </c>
      <c r="C114" s="25" t="inlineStr">
        <is>
          <t>South</t>
        </is>
      </c>
      <c r="D114" s="25" t="inlineStr">
        <is>
          <t>Office Supplies</t>
        </is>
      </c>
      <c r="E114" s="25" t="inlineStr">
        <is>
          <t>Printer Paper Box</t>
        </is>
      </c>
      <c r="F114" s="25" t="n">
        <v>5</v>
      </c>
      <c r="G114" s="25" t="n">
        <v>1600</v>
      </c>
      <c r="H114" s="28" t="n">
        <v>0.05</v>
      </c>
      <c r="I114" s="25" t="n">
        <v>1050</v>
      </c>
    </row>
    <row r="115">
      <c r="A115" s="25" t="inlineStr">
        <is>
          <t>ORD-10242</t>
        </is>
      </c>
      <c r="B115" s="26" t="n">
        <v>45854</v>
      </c>
      <c r="C115" s="25" t="inlineStr">
        <is>
          <t>South</t>
        </is>
      </c>
      <c r="D115" s="25" t="inlineStr">
        <is>
          <t>Office Supplies</t>
        </is>
      </c>
      <c r="E115" s="25" t="inlineStr">
        <is>
          <t>Printer Paper Box</t>
        </is>
      </c>
      <c r="F115" s="25" t="n">
        <v>6</v>
      </c>
      <c r="G115" s="25" t="n">
        <v>1600</v>
      </c>
      <c r="H115" s="28" t="n">
        <v>0.15</v>
      </c>
      <c r="I115" s="25" t="n">
        <v>1050</v>
      </c>
    </row>
    <row r="116">
      <c r="A116" s="25" t="inlineStr">
        <is>
          <t>ORD-10938</t>
        </is>
      </c>
      <c r="B116" s="26" t="n">
        <v>45946</v>
      </c>
      <c r="C116" s="25" t="inlineStr">
        <is>
          <t>South</t>
        </is>
      </c>
      <c r="D116" s="25" t="inlineStr">
        <is>
          <t>Office Supplies</t>
        </is>
      </c>
      <c r="E116" s="25" t="inlineStr">
        <is>
          <t>Printer Paper Box</t>
        </is>
      </c>
      <c r="F116" s="25" t="n">
        <v>5</v>
      </c>
      <c r="G116" s="25" t="n">
        <v>1600</v>
      </c>
      <c r="H116" s="28" t="n">
        <v>0.1</v>
      </c>
      <c r="I116" s="25" t="n">
        <v>1050</v>
      </c>
    </row>
    <row r="117">
      <c r="A117" s="25" t="inlineStr">
        <is>
          <t>ORD-10782</t>
        </is>
      </c>
      <c r="B117" s="26" t="n">
        <v>45963</v>
      </c>
      <c r="C117" s="25" t="inlineStr">
        <is>
          <t>East</t>
        </is>
      </c>
      <c r="D117" s="25" t="inlineStr">
        <is>
          <t>Technology</t>
        </is>
      </c>
      <c r="E117" s="25" t="inlineStr">
        <is>
          <t>Mechanical Keyboard</t>
        </is>
      </c>
      <c r="F117" s="25" t="n">
        <v>2</v>
      </c>
      <c r="G117" s="25" t="n">
        <v>4200</v>
      </c>
      <c r="H117" s="28" t="n">
        <v>0.05</v>
      </c>
      <c r="I117" s="25" t="n">
        <v>2500</v>
      </c>
    </row>
    <row r="118">
      <c r="A118" s="25" t="inlineStr">
        <is>
          <t>ORD-10868</t>
        </is>
      </c>
      <c r="B118" s="26" t="n">
        <v>45738</v>
      </c>
      <c r="C118" s="25" t="inlineStr">
        <is>
          <t>South</t>
        </is>
      </c>
      <c r="D118" s="25" t="inlineStr">
        <is>
          <t>Accessories</t>
        </is>
      </c>
      <c r="E118" s="25" t="inlineStr">
        <is>
          <t>Webcam</t>
        </is>
      </c>
      <c r="F118" s="25" t="n">
        <v>2</v>
      </c>
      <c r="G118" s="25" t="n">
        <v>3200</v>
      </c>
      <c r="H118" s="28" t="n">
        <v>0</v>
      </c>
      <c r="I118" s="25" t="n">
        <v>1900</v>
      </c>
    </row>
    <row r="119">
      <c r="A119" s="25" t="inlineStr">
        <is>
          <t>ORD-11155</t>
        </is>
      </c>
      <c r="B119" s="25" t="inlineStr">
        <is>
          <t>27-Feb-2025</t>
        </is>
      </c>
      <c r="C119" s="25" t="inlineStr">
        <is>
          <t>South</t>
        </is>
      </c>
      <c r="D119" s="25" t="inlineStr">
        <is>
          <t>Technology</t>
        </is>
      </c>
      <c r="E119" s="25" t="inlineStr">
        <is>
          <t>Monitor 24"</t>
        </is>
      </c>
      <c r="F119" s="25" t="n">
        <v>1</v>
      </c>
      <c r="G119" s="25" t="n">
        <v>11500</v>
      </c>
      <c r="H119" s="28" t="n">
        <v>0</v>
      </c>
      <c r="I119" s="25" t="n">
        <v>8200</v>
      </c>
    </row>
    <row r="120">
      <c r="A120" s="25" t="inlineStr">
        <is>
          <t>ORD-11188</t>
        </is>
      </c>
      <c r="B120" s="26" t="n">
        <v>45958</v>
      </c>
      <c r="C120" s="25" t="inlineStr">
        <is>
          <t>West</t>
        </is>
      </c>
      <c r="D120" s="25" t="inlineStr">
        <is>
          <t>Technology</t>
        </is>
      </c>
      <c r="E120" s="25" t="inlineStr">
        <is>
          <t>Mechanical Keyboard</t>
        </is>
      </c>
      <c r="F120" s="25" t="n">
        <v>3</v>
      </c>
      <c r="G120" s="25" t="n">
        <v>4200</v>
      </c>
      <c r="H120" s="28" t="n">
        <v>0</v>
      </c>
      <c r="I120" s="25" t="n">
        <v>2500</v>
      </c>
    </row>
    <row r="121">
      <c r="A121" s="25" t="inlineStr">
        <is>
          <t>ORD-11052</t>
        </is>
      </c>
      <c r="B121" s="26" t="n">
        <v>45736</v>
      </c>
      <c r="C121" s="25" t="inlineStr">
        <is>
          <t>South</t>
        </is>
      </c>
      <c r="D121" s="25" t="inlineStr">
        <is>
          <t>Office Supplies</t>
        </is>
      </c>
      <c r="E121" s="25" t="inlineStr">
        <is>
          <t>Desk Organizer</t>
        </is>
      </c>
      <c r="F121" s="25" t="n"/>
      <c r="G121" s="25" t="n">
        <v>850</v>
      </c>
      <c r="H121" s="28" t="n">
        <v>0.1</v>
      </c>
      <c r="I121" s="25" t="n">
        <v>420</v>
      </c>
    </row>
    <row r="122">
      <c r="A122" s="25" t="inlineStr">
        <is>
          <t>ORD-11124</t>
        </is>
      </c>
      <c r="B122" s="25" t="inlineStr">
        <is>
          <t>22-Feb-2025</t>
        </is>
      </c>
      <c r="C122" s="25" t="inlineStr">
        <is>
          <t>South</t>
        </is>
      </c>
      <c r="D122" s="25" t="inlineStr">
        <is>
          <t>Accessories</t>
        </is>
      </c>
      <c r="E122" s="25" t="inlineStr">
        <is>
          <t>USB-C Hub</t>
        </is>
      </c>
      <c r="F122" s="25" t="n">
        <v>2</v>
      </c>
      <c r="G122" s="25" t="n">
        <v>1800</v>
      </c>
      <c r="H122" s="28" t="n">
        <v>0</v>
      </c>
      <c r="I122" s="25" t="n">
        <v>980</v>
      </c>
    </row>
    <row r="123">
      <c r="A123" s="25" t="inlineStr">
        <is>
          <t>ORD-10430</t>
        </is>
      </c>
      <c r="B123" s="26" t="n">
        <v>45879</v>
      </c>
      <c r="C123" s="25" t="inlineStr">
        <is>
          <t>South</t>
        </is>
      </c>
      <c r="D123" s="25" t="inlineStr">
        <is>
          <t>Furniture</t>
        </is>
      </c>
      <c r="E123" s="25" t="inlineStr">
        <is>
          <t>Standing Desk</t>
        </is>
      </c>
      <c r="F123" s="25" t="n">
        <v>2</v>
      </c>
      <c r="G123" s="25" t="n">
        <v>19500</v>
      </c>
      <c r="H123" s="28" t="n">
        <v>0.2</v>
      </c>
      <c r="I123" s="25" t="n">
        <v>13800</v>
      </c>
    </row>
    <row r="124">
      <c r="A124" s="25" t="inlineStr">
        <is>
          <t>ORD-10529</t>
        </is>
      </c>
      <c r="B124" s="25" t="inlineStr">
        <is>
          <t>23-Nov-2025</t>
        </is>
      </c>
      <c r="C124" s="25" t="inlineStr">
        <is>
          <t>West</t>
        </is>
      </c>
      <c r="D124" s="25" t="inlineStr">
        <is>
          <t>Office Supplies</t>
        </is>
      </c>
      <c r="E124" s="25" t="inlineStr">
        <is>
          <t>Notebook Set</t>
        </is>
      </c>
      <c r="F124" s="25" t="n">
        <v>2</v>
      </c>
      <c r="G124" s="25" t="n">
        <v>450</v>
      </c>
      <c r="H124" s="28" t="n">
        <v>0.1</v>
      </c>
      <c r="I124" s="25" t="n">
        <v>190</v>
      </c>
    </row>
    <row r="125">
      <c r="A125" s="25" t="inlineStr">
        <is>
          <t>ORD-10846</t>
        </is>
      </c>
      <c r="B125" s="25" t="inlineStr">
        <is>
          <t>16-Mar-2025</t>
        </is>
      </c>
      <c r="C125" s="25" t="inlineStr">
        <is>
          <t>North</t>
        </is>
      </c>
      <c r="D125" s="25" t="inlineStr">
        <is>
          <t>Office Supplies</t>
        </is>
      </c>
      <c r="E125" s="25" t="inlineStr">
        <is>
          <t>Notebook Set</t>
        </is>
      </c>
      <c r="F125" s="25" t="n">
        <v>7</v>
      </c>
      <c r="G125" s="25" t="n">
        <v>450</v>
      </c>
      <c r="H125" s="28" t="n">
        <v>0.2</v>
      </c>
      <c r="I125" s="25" t="n">
        <v>190</v>
      </c>
    </row>
    <row r="126">
      <c r="A126" s="25" t="inlineStr">
        <is>
          <t>ORD-10106</t>
        </is>
      </c>
      <c r="B126" s="26" t="n">
        <v>45880</v>
      </c>
      <c r="C126" s="25" t="inlineStr">
        <is>
          <t>South</t>
        </is>
      </c>
      <c r="D126" s="25" t="inlineStr">
        <is>
          <t>Office Supplies</t>
        </is>
      </c>
      <c r="E126" s="25" t="inlineStr">
        <is>
          <t>Desk Organizer</t>
        </is>
      </c>
      <c r="F126" s="25" t="n">
        <v>4</v>
      </c>
      <c r="G126" s="25" t="n">
        <v>850</v>
      </c>
      <c r="H126" s="28" t="n">
        <v>0</v>
      </c>
      <c r="I126" s="25" t="n">
        <v>420</v>
      </c>
    </row>
    <row r="127">
      <c r="A127" s="25" t="inlineStr">
        <is>
          <t>ORD-10059</t>
        </is>
      </c>
      <c r="B127" s="25" t="inlineStr">
        <is>
          <t>18-Nov-2025</t>
        </is>
      </c>
      <c r="C127" s="25" t="inlineStr">
        <is>
          <t>west</t>
        </is>
      </c>
      <c r="D127" s="25" t="inlineStr">
        <is>
          <t>Technology</t>
        </is>
      </c>
      <c r="E127" s="25" t="inlineStr">
        <is>
          <t>Wireless Mouse</t>
        </is>
      </c>
      <c r="F127" s="25" t="n">
        <v>1</v>
      </c>
      <c r="G127" s="25" t="n">
        <v>1200</v>
      </c>
      <c r="H127" s="28" t="n">
        <v>0</v>
      </c>
      <c r="I127" s="25" t="n">
        <v>650</v>
      </c>
    </row>
    <row r="128">
      <c r="A128" s="25" t="inlineStr">
        <is>
          <t>ORD-10896</t>
        </is>
      </c>
      <c r="B128" s="25" t="inlineStr">
        <is>
          <t>27-Mar-2025</t>
        </is>
      </c>
      <c r="C128" s="25" t="inlineStr">
        <is>
          <t>North</t>
        </is>
      </c>
      <c r="D128" s="25" t="inlineStr">
        <is>
          <t>Office Supplies</t>
        </is>
      </c>
      <c r="E128" s="25" t="inlineStr">
        <is>
          <t>Desk Organizer</t>
        </is>
      </c>
      <c r="F128" s="25" t="n">
        <v>5</v>
      </c>
      <c r="G128" s="25" t="n">
        <v>850</v>
      </c>
      <c r="H128" s="28" t="n">
        <v>0.2</v>
      </c>
      <c r="I128" s="25" t="n">
        <v>420</v>
      </c>
    </row>
    <row r="129">
      <c r="A129" s="25" t="inlineStr">
        <is>
          <t>ORD-10170</t>
        </is>
      </c>
      <c r="B129" s="26" t="n">
        <v>45846</v>
      </c>
      <c r="C129" s="25" t="inlineStr">
        <is>
          <t>South</t>
        </is>
      </c>
      <c r="D129" s="25" t="inlineStr">
        <is>
          <t>Furniture</t>
        </is>
      </c>
      <c r="E129" s="25" t="inlineStr">
        <is>
          <t>Bookshelf</t>
        </is>
      </c>
      <c r="F129" s="25" t="n">
        <v>2</v>
      </c>
      <c r="G129" s="25" t="n">
        <v>6200</v>
      </c>
      <c r="H129" s="28" t="n">
        <v>0.15</v>
      </c>
      <c r="I129" s="25" t="n">
        <v>4100</v>
      </c>
    </row>
    <row r="130">
      <c r="A130" s="25" t="inlineStr">
        <is>
          <t>ORD-10712</t>
        </is>
      </c>
      <c r="B130" s="25" t="inlineStr">
        <is>
          <t>06-Jan-2025</t>
        </is>
      </c>
      <c r="C130" s="25" t="inlineStr">
        <is>
          <t>South</t>
        </is>
      </c>
      <c r="D130" s="25" t="inlineStr">
        <is>
          <t>Technology</t>
        </is>
      </c>
      <c r="E130" s="25" t="inlineStr">
        <is>
          <t>Wireless Mouse</t>
        </is>
      </c>
      <c r="F130" s="25" t="n">
        <v>3</v>
      </c>
      <c r="G130" s="25" t="n">
        <v>1200</v>
      </c>
      <c r="H130" s="28" t="n">
        <v>0</v>
      </c>
      <c r="I130" s="25" t="n">
        <v>650</v>
      </c>
    </row>
    <row r="131">
      <c r="A131" s="25" t="inlineStr">
        <is>
          <t>ORD-11054</t>
        </is>
      </c>
      <c r="B131" s="25" t="inlineStr">
        <is>
          <t>11-Nov-2025</t>
        </is>
      </c>
      <c r="C131" s="25" t="inlineStr">
        <is>
          <t>west</t>
        </is>
      </c>
      <c r="D131" s="25" t="inlineStr">
        <is>
          <t>Accessories</t>
        </is>
      </c>
      <c r="E131" s="25" t="inlineStr">
        <is>
          <t>Webcam</t>
        </is>
      </c>
      <c r="F131" s="25" t="n">
        <v>2</v>
      </c>
      <c r="G131" s="25" t="n">
        <v>3200</v>
      </c>
      <c r="H131" s="28" t="n">
        <v>0.2</v>
      </c>
      <c r="I131" s="25" t="n">
        <v>1900</v>
      </c>
    </row>
    <row r="132">
      <c r="A132" s="25" t="inlineStr">
        <is>
          <t>ORD-10265</t>
        </is>
      </c>
      <c r="B132" s="26" t="n">
        <v>45685</v>
      </c>
      <c r="C132" s="25" t="inlineStr">
        <is>
          <t>North</t>
        </is>
      </c>
      <c r="D132" s="25" t="inlineStr">
        <is>
          <t>Accessories</t>
        </is>
      </c>
      <c r="E132" s="25" t="inlineStr">
        <is>
          <t>Webcam</t>
        </is>
      </c>
      <c r="F132" s="25" t="n">
        <v>2</v>
      </c>
      <c r="G132" s="25" t="n">
        <v>3200</v>
      </c>
      <c r="H132" s="28" t="n">
        <v>0</v>
      </c>
      <c r="I132" s="25" t="n">
        <v>1900</v>
      </c>
    </row>
    <row r="133">
      <c r="A133" s="25" t="inlineStr">
        <is>
          <t>ORD-10057</t>
        </is>
      </c>
      <c r="B133" s="26" t="n">
        <v>45997</v>
      </c>
      <c r="C133" s="25" t="inlineStr">
        <is>
          <t>South</t>
        </is>
      </c>
      <c r="D133" s="25" t="inlineStr">
        <is>
          <t>Accessories</t>
        </is>
      </c>
      <c r="E133" s="25" t="inlineStr">
        <is>
          <t>USB-C Hub</t>
        </is>
      </c>
      <c r="F133" s="25" t="n">
        <v>3</v>
      </c>
      <c r="G133" s="25" t="n">
        <v>1800</v>
      </c>
      <c r="H133" s="28" t="n">
        <v>0.2</v>
      </c>
      <c r="I133" s="25" t="n">
        <v>980</v>
      </c>
    </row>
    <row r="134">
      <c r="A134" s="25" t="inlineStr">
        <is>
          <t>ORD-10197</t>
        </is>
      </c>
      <c r="B134" s="26" t="n">
        <v>45821</v>
      </c>
      <c r="C134" s="25" t="inlineStr">
        <is>
          <t>South</t>
        </is>
      </c>
      <c r="D134" s="25" t="inlineStr">
        <is>
          <t>Accessories</t>
        </is>
      </c>
      <c r="E134" s="25" t="inlineStr">
        <is>
          <t>USB-C Hub</t>
        </is>
      </c>
      <c r="F134" s="25" t="n">
        <v>4</v>
      </c>
      <c r="G134" s="25" t="n">
        <v>1800</v>
      </c>
      <c r="H134" s="28" t="n">
        <v>0.2</v>
      </c>
      <c r="I134" s="25" t="n">
        <v>980</v>
      </c>
    </row>
    <row r="135">
      <c r="A135" s="25" t="inlineStr">
        <is>
          <t>ORD-11139</t>
        </is>
      </c>
      <c r="B135" s="26" t="n">
        <v>45947</v>
      </c>
      <c r="C135" s="25" t="inlineStr">
        <is>
          <t>South</t>
        </is>
      </c>
      <c r="D135" s="25" t="inlineStr">
        <is>
          <t>Office Supplies</t>
        </is>
      </c>
      <c r="E135" s="25" t="inlineStr">
        <is>
          <t>Notebook Set</t>
        </is>
      </c>
      <c r="F135" s="25" t="n">
        <v>2</v>
      </c>
      <c r="G135" s="25" t="n">
        <v>450</v>
      </c>
      <c r="H135" s="28" t="n">
        <v>0.15</v>
      </c>
      <c r="I135" s="25" t="n">
        <v>190</v>
      </c>
    </row>
    <row r="136">
      <c r="A136" s="25" t="inlineStr">
        <is>
          <t>ORD-10954</t>
        </is>
      </c>
      <c r="B136" s="26" t="n">
        <v>46017</v>
      </c>
      <c r="C136" s="25" t="inlineStr">
        <is>
          <t>East</t>
        </is>
      </c>
      <c r="D136" s="25" t="inlineStr">
        <is>
          <t>Technology</t>
        </is>
      </c>
      <c r="E136" s="25" t="inlineStr">
        <is>
          <t>Monitor 24"</t>
        </is>
      </c>
      <c r="F136" s="25" t="n">
        <v>2</v>
      </c>
      <c r="G136" s="25" t="n">
        <v>11500</v>
      </c>
      <c r="H136" s="28" t="n">
        <v>0.1</v>
      </c>
      <c r="I136" s="25" t="n">
        <v>8200</v>
      </c>
    </row>
    <row r="137">
      <c r="A137" s="25" t="inlineStr">
        <is>
          <t>ORD-10179</t>
        </is>
      </c>
      <c r="B137" s="26" t="n">
        <v>45669</v>
      </c>
      <c r="C137" s="25" t="inlineStr">
        <is>
          <t>South</t>
        </is>
      </c>
      <c r="D137" s="25" t="inlineStr">
        <is>
          <t>Office Supplies</t>
        </is>
      </c>
      <c r="E137" s="25" t="inlineStr">
        <is>
          <t>Printer Paper Box</t>
        </is>
      </c>
      <c r="F137" s="25" t="n">
        <v>4</v>
      </c>
      <c r="G137" s="25" t="n">
        <v>1600</v>
      </c>
      <c r="H137" s="28" t="n">
        <v>0.1</v>
      </c>
      <c r="I137" s="25" t="n">
        <v>1050</v>
      </c>
    </row>
    <row r="138">
      <c r="A138" s="25" t="inlineStr">
        <is>
          <t>ORD-10422</t>
        </is>
      </c>
      <c r="B138" s="26" t="n">
        <v>45725</v>
      </c>
      <c r="C138" s="25" t="inlineStr">
        <is>
          <t>South</t>
        </is>
      </c>
      <c r="D138" s="25" t="inlineStr">
        <is>
          <t>Accessories</t>
        </is>
      </c>
      <c r="E138" s="25" t="inlineStr">
        <is>
          <t>Headphones</t>
        </is>
      </c>
      <c r="F138" s="25" t="n">
        <v>3</v>
      </c>
      <c r="G138" s="25" t="n">
        <v>4500</v>
      </c>
      <c r="H138" s="28" t="n">
        <v>0</v>
      </c>
      <c r="I138" s="25" t="n">
        <v>2600</v>
      </c>
    </row>
    <row r="139">
      <c r="A139" s="25" t="inlineStr">
        <is>
          <t>ORD-10948</t>
        </is>
      </c>
      <c r="B139" s="26" t="n">
        <v>45870</v>
      </c>
      <c r="C139" s="25" t="inlineStr">
        <is>
          <t>East</t>
        </is>
      </c>
      <c r="D139" s="25" t="inlineStr">
        <is>
          <t>Office Supplies</t>
        </is>
      </c>
      <c r="E139" s="25" t="inlineStr">
        <is>
          <t>Desk Organizer</t>
        </is>
      </c>
      <c r="F139" s="25" t="n">
        <v>5</v>
      </c>
      <c r="G139" s="25" t="n">
        <v>850</v>
      </c>
      <c r="H139" s="28" t="n">
        <v>0.1</v>
      </c>
      <c r="I139" s="25" t="n">
        <v>420</v>
      </c>
    </row>
    <row r="140">
      <c r="A140" s="25" t="inlineStr">
        <is>
          <t>ORD-10489</t>
        </is>
      </c>
      <c r="B140" s="26" t="n">
        <v>45913</v>
      </c>
      <c r="C140" s="25" t="inlineStr">
        <is>
          <t>West</t>
        </is>
      </c>
      <c r="D140" s="25" t="inlineStr">
        <is>
          <t>Furniture</t>
        </is>
      </c>
      <c r="E140" s="25" t="inlineStr">
        <is>
          <t>Office Chair</t>
        </is>
      </c>
      <c r="F140" s="25" t="n">
        <v>2</v>
      </c>
      <c r="G140" s="25" t="n">
        <v>8500</v>
      </c>
      <c r="H140" s="28" t="n">
        <v>0</v>
      </c>
      <c r="I140" s="25" t="n">
        <v>5600</v>
      </c>
    </row>
    <row r="141">
      <c r="A141" s="25" t="inlineStr">
        <is>
          <t>ORD-11182</t>
        </is>
      </c>
      <c r="B141" s="26" t="n">
        <v>45781</v>
      </c>
      <c r="C141" s="25" t="inlineStr">
        <is>
          <t>East</t>
        </is>
      </c>
      <c r="D141" s="25" t="inlineStr">
        <is>
          <t>Office Supplies</t>
        </is>
      </c>
      <c r="E141" s="25" t="inlineStr">
        <is>
          <t>Notebook Set</t>
        </is>
      </c>
      <c r="F141" s="25" t="n">
        <v>3</v>
      </c>
      <c r="G141" s="25" t="n">
        <v>450</v>
      </c>
      <c r="H141" s="28" t="n">
        <v>0.15</v>
      </c>
      <c r="I141" s="25" t="n">
        <v>190</v>
      </c>
    </row>
    <row r="142">
      <c r="A142" s="25" t="inlineStr">
        <is>
          <t>ORD-10876</t>
        </is>
      </c>
      <c r="B142" s="26" t="n">
        <v>45880</v>
      </c>
      <c r="C142" s="25" t="inlineStr">
        <is>
          <t>East</t>
        </is>
      </c>
      <c r="D142" s="25" t="inlineStr">
        <is>
          <t>Technology</t>
        </is>
      </c>
      <c r="E142" s="25" t="inlineStr">
        <is>
          <t>Wireless Mouse</t>
        </is>
      </c>
      <c r="F142" s="25" t="n">
        <v>5</v>
      </c>
      <c r="G142" s="25" t="n">
        <v>1200</v>
      </c>
      <c r="H142" s="28" t="n">
        <v>0</v>
      </c>
      <c r="I142" s="25" t="n">
        <v>650</v>
      </c>
    </row>
    <row r="143">
      <c r="A143" s="25" t="inlineStr">
        <is>
          <t>ORD-10056</t>
        </is>
      </c>
      <c r="B143" s="26" t="n">
        <v>45784</v>
      </c>
      <c r="C143" s="25" t="inlineStr">
        <is>
          <t>North</t>
        </is>
      </c>
      <c r="D143" s="25" t="inlineStr">
        <is>
          <t>Technology</t>
        </is>
      </c>
      <c r="E143" s="25" t="inlineStr">
        <is>
          <t>Wireless Mouse</t>
        </is>
      </c>
      <c r="F143" s="25" t="n">
        <v>5</v>
      </c>
      <c r="G143" s="25" t="n">
        <v>1200</v>
      </c>
      <c r="H143" s="28" t="n">
        <v>0.2</v>
      </c>
      <c r="I143" s="25" t="n">
        <v>650</v>
      </c>
    </row>
    <row r="144">
      <c r="A144" s="25" t="inlineStr">
        <is>
          <t>ORD-10187</t>
        </is>
      </c>
      <c r="B144" s="25" t="inlineStr">
        <is>
          <t>05-Feb-2025</t>
        </is>
      </c>
      <c r="C144" s="25" t="inlineStr">
        <is>
          <t>West</t>
        </is>
      </c>
      <c r="D144" s="25" t="inlineStr">
        <is>
          <t>Office Supplies</t>
        </is>
      </c>
      <c r="E144" s="25" t="inlineStr">
        <is>
          <t>Desk Organizer</t>
        </is>
      </c>
      <c r="F144" s="25" t="n">
        <v>3</v>
      </c>
      <c r="G144" s="25" t="n">
        <v>850</v>
      </c>
      <c r="H144" s="28" t="n">
        <v>0</v>
      </c>
      <c r="I144" s="25" t="n">
        <v>420</v>
      </c>
    </row>
    <row r="145">
      <c r="A145" s="25" t="inlineStr">
        <is>
          <t>ORD-10223</t>
        </is>
      </c>
      <c r="B145" s="26" t="n">
        <v>45968</v>
      </c>
      <c r="C145" s="25" t="inlineStr">
        <is>
          <t>East</t>
        </is>
      </c>
      <c r="D145" s="25" t="inlineStr">
        <is>
          <t>Accessories</t>
        </is>
      </c>
      <c r="E145" s="25" t="inlineStr">
        <is>
          <t>Headphones</t>
        </is>
      </c>
      <c r="F145" s="25" t="n">
        <v>3</v>
      </c>
      <c r="G145" s="25" t="n">
        <v>4500</v>
      </c>
      <c r="H145" s="28" t="n">
        <v>0.1</v>
      </c>
      <c r="I145" s="25" t="n">
        <v>2600</v>
      </c>
    </row>
    <row r="146">
      <c r="A146" s="25" t="inlineStr">
        <is>
          <t>ORD-10518</t>
        </is>
      </c>
      <c r="B146" s="26" t="n">
        <v>45708</v>
      </c>
      <c r="C146" s="25" t="inlineStr">
        <is>
          <t>East</t>
        </is>
      </c>
      <c r="D146" s="25" t="inlineStr">
        <is>
          <t>Office Supplies</t>
        </is>
      </c>
      <c r="E146" s="25" t="inlineStr">
        <is>
          <t>Desk Organizer</t>
        </is>
      </c>
      <c r="F146" s="25" t="n">
        <v>4</v>
      </c>
      <c r="G146" s="25" t="n">
        <v>850</v>
      </c>
      <c r="H146" s="28" t="n">
        <v>0</v>
      </c>
      <c r="I146" s="25" t="n">
        <v>420</v>
      </c>
    </row>
    <row r="147">
      <c r="A147" s="25" t="inlineStr">
        <is>
          <t>ORD-10487</t>
        </is>
      </c>
      <c r="B147" s="26" t="n">
        <v>45945</v>
      </c>
      <c r="C147" s="25" t="inlineStr">
        <is>
          <t>South</t>
        </is>
      </c>
      <c r="D147" s="25" t="inlineStr">
        <is>
          <t>Technology</t>
        </is>
      </c>
      <c r="E147" s="25" t="inlineStr">
        <is>
          <t>Wireless Mouse</t>
        </is>
      </c>
      <c r="F147" s="25" t="n">
        <v>1</v>
      </c>
      <c r="G147" s="25" t="n">
        <v>1200</v>
      </c>
      <c r="H147" s="28" t="n">
        <v>0.05</v>
      </c>
      <c r="I147" s="25" t="n">
        <v>650</v>
      </c>
    </row>
    <row r="148">
      <c r="A148" s="25" t="inlineStr">
        <is>
          <t>ORD-10478</t>
        </is>
      </c>
      <c r="B148" s="26" t="n">
        <v>45829</v>
      </c>
      <c r="C148" s="25" t="inlineStr">
        <is>
          <t>West</t>
        </is>
      </c>
      <c r="D148" s="25" t="inlineStr">
        <is>
          <t>Technology</t>
        </is>
      </c>
      <c r="E148" s="25" t="inlineStr">
        <is>
          <t>Monitor 24"</t>
        </is>
      </c>
      <c r="F148" s="25" t="n">
        <v>2</v>
      </c>
      <c r="G148" s="25" t="n">
        <v>11500</v>
      </c>
      <c r="H148" s="28" t="n">
        <v>0</v>
      </c>
      <c r="I148" s="25" t="n">
        <v>8200</v>
      </c>
    </row>
    <row r="149">
      <c r="A149" s="25" t="inlineStr">
        <is>
          <t>ORD-10781</t>
        </is>
      </c>
      <c r="B149" s="26" t="n">
        <v>45811</v>
      </c>
      <c r="C149" s="25" t="inlineStr">
        <is>
          <t>North</t>
        </is>
      </c>
      <c r="D149" s="25" t="inlineStr">
        <is>
          <t>Technology</t>
        </is>
      </c>
      <c r="E149" s="25" t="inlineStr">
        <is>
          <t>Wireless Mouse</t>
        </is>
      </c>
      <c r="F149" s="25" t="n">
        <v>1</v>
      </c>
      <c r="G149" s="25" t="n">
        <v>1200</v>
      </c>
      <c r="H149" s="28" t="n">
        <v>0.05</v>
      </c>
      <c r="I149" s="25" t="n">
        <v>650</v>
      </c>
    </row>
    <row r="150">
      <c r="A150" s="25" t="inlineStr">
        <is>
          <t>ORD-10778</t>
        </is>
      </c>
      <c r="B150" s="26" t="n">
        <v>45748</v>
      </c>
      <c r="C150" s="25" t="inlineStr">
        <is>
          <t>North</t>
        </is>
      </c>
      <c r="D150" s="25" t="inlineStr">
        <is>
          <t>Technology</t>
        </is>
      </c>
      <c r="E150" s="25" t="inlineStr">
        <is>
          <t>Wireless Mouse</t>
        </is>
      </c>
      <c r="F150" s="25" t="n">
        <v>3</v>
      </c>
      <c r="G150" s="25" t="n">
        <v>1200</v>
      </c>
      <c r="H150" s="28" t="n">
        <v>0.1</v>
      </c>
      <c r="I150" s="25" t="n">
        <v>650</v>
      </c>
    </row>
    <row r="151">
      <c r="A151" s="25" t="inlineStr">
        <is>
          <t>ORD-10840</t>
        </is>
      </c>
      <c r="B151" s="25" t="inlineStr">
        <is>
          <t>28-Mar-2025</t>
        </is>
      </c>
      <c r="C151" s="25" t="inlineStr">
        <is>
          <t>North</t>
        </is>
      </c>
      <c r="D151" s="25" t="inlineStr">
        <is>
          <t>Office Supplies</t>
        </is>
      </c>
      <c r="E151" s="25" t="inlineStr">
        <is>
          <t>Desk Organizer</t>
        </is>
      </c>
      <c r="F151" s="25" t="n">
        <v>3</v>
      </c>
      <c r="G151" s="25" t="n">
        <v>850</v>
      </c>
      <c r="H151" s="28" t="n">
        <v>0</v>
      </c>
      <c r="I151" s="25" t="n">
        <v>420</v>
      </c>
    </row>
    <row r="152">
      <c r="A152" s="25" t="inlineStr">
        <is>
          <t>ORD-11068</t>
        </is>
      </c>
      <c r="B152" s="26" t="n">
        <v>45956</v>
      </c>
      <c r="C152" s="25" t="inlineStr">
        <is>
          <t>East</t>
        </is>
      </c>
      <c r="D152" s="25" t="inlineStr">
        <is>
          <t>Accessories</t>
        </is>
      </c>
      <c r="E152" s="25" t="inlineStr">
        <is>
          <t>Webcam</t>
        </is>
      </c>
      <c r="F152" s="25" t="n">
        <v>3</v>
      </c>
      <c r="G152" s="25" t="n">
        <v>3200</v>
      </c>
      <c r="H152" s="28" t="n">
        <v>0.05</v>
      </c>
      <c r="I152" s="25" t="n">
        <v>1900</v>
      </c>
    </row>
    <row r="153">
      <c r="A153" s="25" t="inlineStr">
        <is>
          <t>ORD-10759</t>
        </is>
      </c>
      <c r="B153" s="26" t="n">
        <v>45903</v>
      </c>
      <c r="C153" s="25" t="inlineStr">
        <is>
          <t>South</t>
        </is>
      </c>
      <c r="D153" s="25" t="inlineStr">
        <is>
          <t>Accessories</t>
        </is>
      </c>
      <c r="E153" s="25" t="inlineStr">
        <is>
          <t>Webcam</t>
        </is>
      </c>
      <c r="F153" s="25" t="n">
        <v>1</v>
      </c>
      <c r="G153" s="25" t="n">
        <v>3200</v>
      </c>
      <c r="H153" s="28" t="n">
        <v>0</v>
      </c>
      <c r="I153" s="25" t="n">
        <v>1900</v>
      </c>
    </row>
    <row r="154">
      <c r="A154" s="25" t="inlineStr">
        <is>
          <t>ORD-11128</t>
        </is>
      </c>
      <c r="B154" s="25" t="inlineStr">
        <is>
          <t>06-Dec-2025</t>
        </is>
      </c>
      <c r="C154" s="25" t="inlineStr">
        <is>
          <t>South</t>
        </is>
      </c>
      <c r="D154" s="25" t="inlineStr">
        <is>
          <t>Office Supplies</t>
        </is>
      </c>
      <c r="E154" s="25" t="inlineStr">
        <is>
          <t>Printer Paper Box</t>
        </is>
      </c>
      <c r="F154" s="25" t="n">
        <v>1</v>
      </c>
      <c r="G154" s="25" t="n">
        <v>1600</v>
      </c>
      <c r="H154" s="28" t="n">
        <v>0.1</v>
      </c>
      <c r="I154" s="25" t="n">
        <v>1050</v>
      </c>
    </row>
    <row r="155">
      <c r="A155" s="25" t="inlineStr">
        <is>
          <t>ORD-10277</t>
        </is>
      </c>
      <c r="B155" s="26" t="n">
        <v>45881</v>
      </c>
      <c r="C155" s="25" t="inlineStr">
        <is>
          <t>West</t>
        </is>
      </c>
      <c r="D155" s="25" t="inlineStr">
        <is>
          <t>Office Supplies</t>
        </is>
      </c>
      <c r="E155" s="25" t="inlineStr">
        <is>
          <t>Printer Paper Box</t>
        </is>
      </c>
      <c r="F155" s="25" t="n">
        <v>5</v>
      </c>
      <c r="G155" s="25" t="n">
        <v>1600</v>
      </c>
      <c r="H155" s="28" t="n">
        <v>0.05</v>
      </c>
      <c r="I155" s="25" t="n">
        <v>1050</v>
      </c>
    </row>
    <row r="156">
      <c r="A156" s="25" t="inlineStr">
        <is>
          <t>ORD-10856</t>
        </is>
      </c>
      <c r="B156" s="26" t="n">
        <v>45724</v>
      </c>
      <c r="C156" s="25" t="inlineStr">
        <is>
          <t>West</t>
        </is>
      </c>
      <c r="D156" s="25" t="inlineStr">
        <is>
          <t>Furniture</t>
        </is>
      </c>
      <c r="E156" s="25" t="inlineStr">
        <is>
          <t>Standing Desk</t>
        </is>
      </c>
      <c r="F156" s="25" t="n">
        <v>2</v>
      </c>
      <c r="G156" s="25" t="n">
        <v>19500</v>
      </c>
      <c r="H156" s="28" t="n">
        <v>0</v>
      </c>
      <c r="I156" s="25" t="n">
        <v>13800</v>
      </c>
    </row>
    <row r="157">
      <c r="A157" s="25" t="inlineStr">
        <is>
          <t>ORD-11119</t>
        </is>
      </c>
      <c r="B157" s="26" t="n">
        <v>45999</v>
      </c>
      <c r="C157" s="25" t="inlineStr">
        <is>
          <t>North</t>
        </is>
      </c>
      <c r="D157" s="25" t="inlineStr">
        <is>
          <t>Technology</t>
        </is>
      </c>
      <c r="E157" s="25" t="inlineStr">
        <is>
          <t>Wireless Mouse</t>
        </is>
      </c>
      <c r="F157" s="25" t="n">
        <v>5</v>
      </c>
      <c r="G157" s="25" t="n">
        <v>1200</v>
      </c>
      <c r="H157" s="28" t="n">
        <v>0.05</v>
      </c>
      <c r="I157" s="25" t="n">
        <v>650</v>
      </c>
    </row>
    <row r="158">
      <c r="A158" s="25" t="inlineStr">
        <is>
          <t>ORD-11067</t>
        </is>
      </c>
      <c r="B158" s="26" t="n">
        <v>45873</v>
      </c>
      <c r="C158" s="25" t="inlineStr">
        <is>
          <t>North</t>
        </is>
      </c>
      <c r="D158" s="25" t="inlineStr">
        <is>
          <t>Office Supplies</t>
        </is>
      </c>
      <c r="E158" s="25" t="inlineStr">
        <is>
          <t>Notebook Set</t>
        </is>
      </c>
      <c r="F158" s="25" t="n">
        <v>4</v>
      </c>
      <c r="G158" s="25" t="n">
        <v>450</v>
      </c>
      <c r="H158" s="28" t="n">
        <v>0.15</v>
      </c>
      <c r="I158" s="25" t="n">
        <v>190</v>
      </c>
    </row>
    <row r="159">
      <c r="A159" s="25" t="inlineStr">
        <is>
          <t>ORD-11048</t>
        </is>
      </c>
      <c r="B159" s="26" t="n">
        <v>45792</v>
      </c>
      <c r="C159" s="25" t="inlineStr">
        <is>
          <t>West</t>
        </is>
      </c>
      <c r="D159" s="25" t="inlineStr">
        <is>
          <t>Accessories</t>
        </is>
      </c>
      <c r="E159" s="25" t="inlineStr">
        <is>
          <t>USB-C Hub</t>
        </is>
      </c>
      <c r="F159" s="25" t="n"/>
      <c r="G159" s="25" t="n">
        <v>1800</v>
      </c>
      <c r="H159" s="28" t="n">
        <v>0</v>
      </c>
      <c r="I159" s="25" t="n">
        <v>980</v>
      </c>
    </row>
    <row r="160">
      <c r="A160" s="25" t="inlineStr">
        <is>
          <t>ORD-10903</t>
        </is>
      </c>
      <c r="B160" s="25" t="inlineStr">
        <is>
          <t>27-Jun-2025</t>
        </is>
      </c>
      <c r="C160" s="25" t="inlineStr">
        <is>
          <t>North</t>
        </is>
      </c>
      <c r="D160" s="25" t="inlineStr">
        <is>
          <t>Accessories</t>
        </is>
      </c>
      <c r="E160" s="25" t="inlineStr">
        <is>
          <t>USB-C Hub</t>
        </is>
      </c>
      <c r="F160" s="25" t="n">
        <v>3</v>
      </c>
      <c r="G160" s="25" t="n">
        <v>1800</v>
      </c>
      <c r="H160" s="28" t="n">
        <v>0</v>
      </c>
      <c r="I160" s="25" t="n">
        <v>980</v>
      </c>
    </row>
    <row r="161">
      <c r="A161" s="25" t="inlineStr">
        <is>
          <t>ORD-10736</t>
        </is>
      </c>
      <c r="B161" s="26" t="n">
        <v>45878</v>
      </c>
      <c r="C161" s="25" t="inlineStr">
        <is>
          <t>North</t>
        </is>
      </c>
      <c r="D161" s="25" t="inlineStr">
        <is>
          <t>Office Supplies</t>
        </is>
      </c>
      <c r="E161" s="25" t="inlineStr">
        <is>
          <t>Desk Organizer</t>
        </is>
      </c>
      <c r="F161" s="25" t="n">
        <v>5</v>
      </c>
      <c r="G161" s="25" t="n">
        <v>850</v>
      </c>
      <c r="H161" s="28" t="n">
        <v>0</v>
      </c>
      <c r="I161" s="25" t="n">
        <v>420</v>
      </c>
    </row>
    <row r="162">
      <c r="A162" s="25" t="inlineStr">
        <is>
          <t>ORD-11023</t>
        </is>
      </c>
      <c r="B162" s="26" t="n">
        <v>45983</v>
      </c>
      <c r="C162" s="25" t="inlineStr">
        <is>
          <t>South</t>
        </is>
      </c>
      <c r="D162" s="25" t="inlineStr">
        <is>
          <t>Office Supplies</t>
        </is>
      </c>
      <c r="E162" s="25" t="inlineStr">
        <is>
          <t>Desk Organizer</t>
        </is>
      </c>
      <c r="F162" s="25" t="n">
        <v>3</v>
      </c>
      <c r="G162" s="25" t="n">
        <v>850</v>
      </c>
      <c r="H162" s="28" t="n">
        <v>0</v>
      </c>
      <c r="I162" s="25" t="n">
        <v>420</v>
      </c>
    </row>
    <row r="163">
      <c r="A163" s="25" t="inlineStr">
        <is>
          <t>ORD-10810</t>
        </is>
      </c>
      <c r="B163" s="26" t="n">
        <v>45879</v>
      </c>
      <c r="C163" s="25" t="inlineStr">
        <is>
          <t>West</t>
        </is>
      </c>
      <c r="D163" s="25" t="inlineStr">
        <is>
          <t>Office Supplies</t>
        </is>
      </c>
      <c r="E163" s="25" t="inlineStr">
        <is>
          <t>Desk Organizer</t>
        </is>
      </c>
      <c r="F163" s="25" t="n">
        <v>5</v>
      </c>
      <c r="G163" s="25" t="n">
        <v>850</v>
      </c>
      <c r="H163" s="28" t="n">
        <v>0.05</v>
      </c>
      <c r="I163" s="25" t="n">
        <v>420</v>
      </c>
    </row>
    <row r="164">
      <c r="A164" s="25" t="inlineStr">
        <is>
          <t>ORD-10222</t>
        </is>
      </c>
      <c r="B164" s="26" t="n">
        <v>45821</v>
      </c>
      <c r="C164" s="25" t="inlineStr">
        <is>
          <t>South</t>
        </is>
      </c>
      <c r="D164" s="25" t="inlineStr">
        <is>
          <t>Technology</t>
        </is>
      </c>
      <c r="E164" s="25" t="inlineStr">
        <is>
          <t>Monitor 24"</t>
        </is>
      </c>
      <c r="F164" s="25" t="n">
        <v>1</v>
      </c>
      <c r="G164" s="25" t="n">
        <v>11500</v>
      </c>
      <c r="H164" s="28" t="n">
        <v>0.2</v>
      </c>
      <c r="I164" s="25" t="n">
        <v>8200</v>
      </c>
    </row>
    <row r="165">
      <c r="A165" s="25" t="inlineStr">
        <is>
          <t>ORD-10053</t>
        </is>
      </c>
      <c r="B165" s="26" t="n">
        <v>46013</v>
      </c>
      <c r="C165" s="25" t="inlineStr">
        <is>
          <t>South</t>
        </is>
      </c>
      <c r="D165" s="25" t="inlineStr">
        <is>
          <t>Technology</t>
        </is>
      </c>
      <c r="E165" s="25" t="inlineStr">
        <is>
          <t>Wireless Mouse</t>
        </is>
      </c>
      <c r="F165" s="25" t="n">
        <v>4</v>
      </c>
      <c r="G165" s="25" t="n">
        <v>1200</v>
      </c>
      <c r="H165" s="28" t="n">
        <v>0.1</v>
      </c>
      <c r="I165" s="25" t="n">
        <v>650</v>
      </c>
    </row>
    <row r="166">
      <c r="A166" s="25" t="inlineStr">
        <is>
          <t>ORD-11009</t>
        </is>
      </c>
      <c r="B166" s="25" t="inlineStr">
        <is>
          <t>04-Jun-2025</t>
        </is>
      </c>
      <c r="C166" s="25" t="inlineStr">
        <is>
          <t>West</t>
        </is>
      </c>
      <c r="D166" s="25" t="inlineStr">
        <is>
          <t>Accessories</t>
        </is>
      </c>
      <c r="E166" s="25" t="inlineStr">
        <is>
          <t>Webcam</t>
        </is>
      </c>
      <c r="F166" s="25" t="n">
        <v>1</v>
      </c>
      <c r="G166" s="25" t="n">
        <v>3200</v>
      </c>
      <c r="H166" s="28" t="n">
        <v>0</v>
      </c>
      <c r="I166" s="25" t="n">
        <v>1900</v>
      </c>
    </row>
    <row r="167">
      <c r="A167" s="25" t="inlineStr">
        <is>
          <t>ORD-10224</t>
        </is>
      </c>
      <c r="B167" s="26" t="n">
        <v>46007</v>
      </c>
      <c r="C167" s="25" t="inlineStr">
        <is>
          <t xml:space="preserve"> North </t>
        </is>
      </c>
      <c r="D167" s="25" t="inlineStr">
        <is>
          <t>Office Supplies</t>
        </is>
      </c>
      <c r="E167" s="25" t="inlineStr">
        <is>
          <t>Desk Organizer</t>
        </is>
      </c>
      <c r="F167" s="25" t="n">
        <v>4</v>
      </c>
      <c r="G167" s="25" t="n">
        <v>850</v>
      </c>
      <c r="H167" s="28" t="n">
        <v>0</v>
      </c>
      <c r="I167" s="25" t="n">
        <v>420</v>
      </c>
    </row>
    <row r="168">
      <c r="A168" s="25" t="inlineStr">
        <is>
          <t>ORD-10397</t>
        </is>
      </c>
      <c r="B168" s="26" t="n">
        <v>45879</v>
      </c>
      <c r="C168" s="25" t="inlineStr">
        <is>
          <t>South</t>
        </is>
      </c>
      <c r="D168" s="25" t="inlineStr">
        <is>
          <t>Office Supplies</t>
        </is>
      </c>
      <c r="E168" s="25" t="inlineStr">
        <is>
          <t>Printer Paper Box</t>
        </is>
      </c>
      <c r="F168" s="25" t="n">
        <v>4</v>
      </c>
      <c r="G168" s="25" t="n">
        <v>1600</v>
      </c>
      <c r="H168" s="28" t="n">
        <v>0</v>
      </c>
      <c r="I168" s="25" t="n">
        <v>1050</v>
      </c>
    </row>
    <row r="169">
      <c r="A169" s="25" t="inlineStr">
        <is>
          <t>ORD-10839</t>
        </is>
      </c>
      <c r="B169" s="25" t="inlineStr">
        <is>
          <t>07-Feb-2025</t>
        </is>
      </c>
      <c r="C169" s="25" t="inlineStr">
        <is>
          <t>North</t>
        </is>
      </c>
      <c r="D169" s="25" t="inlineStr">
        <is>
          <t>Office Supplies</t>
        </is>
      </c>
      <c r="E169" s="25" t="inlineStr">
        <is>
          <t>Notebook Set</t>
        </is>
      </c>
      <c r="F169" s="25" t="n">
        <v>8</v>
      </c>
      <c r="G169" s="25" t="n">
        <v>450</v>
      </c>
      <c r="H169" s="28" t="n">
        <v>0</v>
      </c>
      <c r="I169" s="25" t="n">
        <v>190</v>
      </c>
    </row>
    <row r="170">
      <c r="A170" s="25" t="inlineStr">
        <is>
          <t>ORD-10703</t>
        </is>
      </c>
      <c r="B170" s="25" t="inlineStr">
        <is>
          <t>13-Oct-2025</t>
        </is>
      </c>
      <c r="C170" s="25" t="inlineStr">
        <is>
          <t>North</t>
        </is>
      </c>
      <c r="D170" s="25" t="inlineStr">
        <is>
          <t>Office Supplies</t>
        </is>
      </c>
      <c r="E170" s="25" t="inlineStr">
        <is>
          <t>Notebook Set</t>
        </is>
      </c>
      <c r="F170" s="25" t="n">
        <v>1</v>
      </c>
      <c r="G170" s="25" t="n">
        <v>450</v>
      </c>
      <c r="H170" s="28" t="n">
        <v>0</v>
      </c>
      <c r="I170" s="25" t="n">
        <v>190</v>
      </c>
    </row>
    <row r="171">
      <c r="A171" s="25" t="inlineStr">
        <is>
          <t>ORD-10690</t>
        </is>
      </c>
      <c r="B171" s="26" t="n">
        <v>45823</v>
      </c>
      <c r="C171" s="25" t="inlineStr">
        <is>
          <t>South</t>
        </is>
      </c>
      <c r="D171" s="25" t="inlineStr">
        <is>
          <t>Office Supplies</t>
        </is>
      </c>
      <c r="E171" s="25" t="inlineStr">
        <is>
          <t>Printer Paper Box</t>
        </is>
      </c>
      <c r="F171" s="25" t="n">
        <v>6</v>
      </c>
      <c r="G171" s="25" t="n">
        <v>1600</v>
      </c>
      <c r="H171" s="28" t="n">
        <v>0</v>
      </c>
      <c r="I171" s="25" t="n">
        <v>1050</v>
      </c>
    </row>
    <row r="172">
      <c r="A172" s="25" t="inlineStr">
        <is>
          <t>ORD-10293</t>
        </is>
      </c>
      <c r="B172" s="26" t="n">
        <v>45927</v>
      </c>
      <c r="C172" s="25" t="inlineStr">
        <is>
          <t>West</t>
        </is>
      </c>
      <c r="D172" s="25" t="inlineStr">
        <is>
          <t>Technology</t>
        </is>
      </c>
      <c r="E172" s="25" t="inlineStr">
        <is>
          <t>Wireless Mouse</t>
        </is>
      </c>
      <c r="F172" s="25" t="n">
        <v>4</v>
      </c>
      <c r="G172" s="25" t="n">
        <v>1200</v>
      </c>
      <c r="H172" s="28" t="n">
        <v>0.15</v>
      </c>
      <c r="I172" s="25" t="n">
        <v>650</v>
      </c>
    </row>
    <row r="173">
      <c r="A173" s="25" t="inlineStr">
        <is>
          <t>ORD-11065</t>
        </is>
      </c>
      <c r="B173" s="25" t="inlineStr">
        <is>
          <t>05-Dec-2025</t>
        </is>
      </c>
      <c r="C173" s="25" t="inlineStr">
        <is>
          <t>North</t>
        </is>
      </c>
      <c r="D173" s="25" t="inlineStr">
        <is>
          <t>Office Supplies</t>
        </is>
      </c>
      <c r="E173" s="25" t="inlineStr">
        <is>
          <t>Notebook Set</t>
        </is>
      </c>
      <c r="F173" s="25" t="n">
        <v>1</v>
      </c>
      <c r="G173" s="25" t="n">
        <v>450</v>
      </c>
      <c r="H173" s="28" t="n">
        <v>0.05</v>
      </c>
      <c r="I173" s="25" t="n">
        <v>190</v>
      </c>
    </row>
    <row r="174">
      <c r="A174" s="25" t="inlineStr">
        <is>
          <t>ORD-10269</t>
        </is>
      </c>
      <c r="B174" s="26" t="n">
        <v>45985</v>
      </c>
      <c r="C174" s="25" t="inlineStr">
        <is>
          <t xml:space="preserve">West </t>
        </is>
      </c>
      <c r="D174" s="25" t="inlineStr">
        <is>
          <t>Technology</t>
        </is>
      </c>
      <c r="E174" s="25" t="inlineStr">
        <is>
          <t>Wireless Mouse</t>
        </is>
      </c>
      <c r="F174" s="25" t="n">
        <v>4</v>
      </c>
      <c r="G174" s="25" t="n">
        <v>1200</v>
      </c>
      <c r="H174" s="28" t="n">
        <v>0.05</v>
      </c>
      <c r="I174" s="25" t="n">
        <v>650</v>
      </c>
    </row>
    <row r="175">
      <c r="A175" s="25" t="inlineStr">
        <is>
          <t>ORD-10015</t>
        </is>
      </c>
      <c r="B175" s="26" t="n">
        <v>45928</v>
      </c>
      <c r="C175" s="25" t="inlineStr">
        <is>
          <t>South</t>
        </is>
      </c>
      <c r="D175" s="25" t="inlineStr">
        <is>
          <t>Furniture</t>
        </is>
      </c>
      <c r="E175" s="25" t="inlineStr">
        <is>
          <t>Office Chair</t>
        </is>
      </c>
      <c r="F175" s="25" t="n">
        <v>1</v>
      </c>
      <c r="G175" s="25" t="n">
        <v>8500</v>
      </c>
      <c r="H175" s="28" t="n">
        <v>0</v>
      </c>
      <c r="I175" s="25" t="n">
        <v>5600</v>
      </c>
    </row>
    <row r="176">
      <c r="A176" s="25" t="inlineStr">
        <is>
          <t>ORD-10344</t>
        </is>
      </c>
      <c r="B176" s="26" t="n">
        <v>45910</v>
      </c>
      <c r="C176" s="25" t="inlineStr">
        <is>
          <t>SOUTH</t>
        </is>
      </c>
      <c r="D176" s="25" t="inlineStr">
        <is>
          <t>Technology</t>
        </is>
      </c>
      <c r="E176" s="25" t="inlineStr">
        <is>
          <t>Mechanical Keyboard</t>
        </is>
      </c>
      <c r="F176" s="25" t="n">
        <v>3</v>
      </c>
      <c r="G176" s="25" t="n"/>
      <c r="H176" s="28" t="n">
        <v>0.2</v>
      </c>
      <c r="I176" s="25" t="n">
        <v>2500</v>
      </c>
    </row>
    <row r="177">
      <c r="A177" s="25" t="inlineStr">
        <is>
          <t>ORD-10516</t>
        </is>
      </c>
      <c r="B177" s="26" t="n">
        <v>45672</v>
      </c>
      <c r="C177" s="25" t="inlineStr">
        <is>
          <t>North</t>
        </is>
      </c>
      <c r="D177" s="25" t="inlineStr">
        <is>
          <t>Office Supplies</t>
        </is>
      </c>
      <c r="E177" s="25" t="inlineStr">
        <is>
          <t>Printer Paper Box</t>
        </is>
      </c>
      <c r="F177" s="25" t="n">
        <v>3</v>
      </c>
      <c r="G177" s="25" t="n">
        <v>1600</v>
      </c>
      <c r="H177" s="28" t="n">
        <v>0.15</v>
      </c>
      <c r="I177" s="25" t="n">
        <v>1050</v>
      </c>
    </row>
    <row r="178">
      <c r="A178" s="25" t="inlineStr">
        <is>
          <t>ORD-10081</t>
        </is>
      </c>
      <c r="B178" s="25" t="inlineStr">
        <is>
          <t>04-Jun-2025</t>
        </is>
      </c>
      <c r="C178" s="25" t="inlineStr">
        <is>
          <t>South</t>
        </is>
      </c>
      <c r="D178" s="25" t="inlineStr">
        <is>
          <t>Office Supplies</t>
        </is>
      </c>
      <c r="E178" s="25" t="inlineStr">
        <is>
          <t>Printer Paper Box</t>
        </is>
      </c>
      <c r="F178" s="25" t="n">
        <v>6</v>
      </c>
      <c r="G178" s="25" t="n">
        <v>1600</v>
      </c>
      <c r="H178" s="28" t="n">
        <v>0</v>
      </c>
      <c r="I178" s="25" t="n">
        <v>1050</v>
      </c>
    </row>
    <row r="179">
      <c r="A179" s="25" t="inlineStr">
        <is>
          <t>ORD-10844</t>
        </is>
      </c>
      <c r="B179" s="26" t="n">
        <v>45997</v>
      </c>
      <c r="C179" s="25" t="inlineStr">
        <is>
          <t>South</t>
        </is>
      </c>
      <c r="D179" s="25" t="inlineStr">
        <is>
          <t>Office Supplies</t>
        </is>
      </c>
      <c r="E179" s="25" t="inlineStr">
        <is>
          <t>Notebook Set</t>
        </is>
      </c>
      <c r="F179" s="25" t="n">
        <v>5</v>
      </c>
      <c r="G179" s="25" t="n">
        <v>450</v>
      </c>
      <c r="H179" s="28" t="n">
        <v>0.05</v>
      </c>
      <c r="I179" s="25" t="n">
        <v>190</v>
      </c>
    </row>
    <row r="180">
      <c r="A180" s="25" t="inlineStr">
        <is>
          <t>ORD-10601</t>
        </is>
      </c>
      <c r="B180" s="26" t="n">
        <v>45979</v>
      </c>
      <c r="C180" s="25" t="inlineStr">
        <is>
          <t>East</t>
        </is>
      </c>
      <c r="D180" s="25" t="inlineStr">
        <is>
          <t>Furniture</t>
        </is>
      </c>
      <c r="E180" s="25" t="inlineStr">
        <is>
          <t>Office Chair</t>
        </is>
      </c>
      <c r="F180" s="25" t="n">
        <v>2</v>
      </c>
      <c r="G180" s="25" t="n">
        <v>8500</v>
      </c>
      <c r="H180" s="28" t="n">
        <v>0.15</v>
      </c>
      <c r="I180" s="25" t="n">
        <v>5600</v>
      </c>
    </row>
    <row r="181">
      <c r="A181" s="25" t="inlineStr">
        <is>
          <t>ORD-10107</t>
        </is>
      </c>
      <c r="B181" s="26" t="n">
        <v>45919</v>
      </c>
      <c r="C181" s="25" t="inlineStr">
        <is>
          <t>North</t>
        </is>
      </c>
      <c r="D181" s="25" t="inlineStr">
        <is>
          <t>Technology</t>
        </is>
      </c>
      <c r="E181" s="25" t="inlineStr">
        <is>
          <t>Wireless Mouse</t>
        </is>
      </c>
      <c r="F181" s="25" t="n">
        <v>2</v>
      </c>
      <c r="G181" s="25" t="n">
        <v>1200</v>
      </c>
      <c r="H181" s="28" t="n">
        <v>0.05</v>
      </c>
      <c r="I181" s="25" t="n">
        <v>650</v>
      </c>
    </row>
    <row r="182">
      <c r="A182" s="25" t="inlineStr">
        <is>
          <t>ORD-11029</t>
        </is>
      </c>
      <c r="B182" s="26" t="n">
        <v>45849</v>
      </c>
      <c r="C182" s="25" t="inlineStr">
        <is>
          <t>West</t>
        </is>
      </c>
      <c r="D182" s="25" t="inlineStr">
        <is>
          <t>Office Supplies</t>
        </is>
      </c>
      <c r="E182" s="25" t="inlineStr">
        <is>
          <t>Notebook Set</t>
        </is>
      </c>
      <c r="F182" s="25" t="n">
        <v>4</v>
      </c>
      <c r="G182" s="25" t="n">
        <v>450</v>
      </c>
      <c r="H182" s="28" t="n">
        <v>0.1</v>
      </c>
      <c r="I182" s="25" t="n">
        <v>190</v>
      </c>
    </row>
    <row r="183">
      <c r="A183" s="25" t="inlineStr">
        <is>
          <t>ORD-10675</t>
        </is>
      </c>
      <c r="B183" s="26" t="n">
        <v>46012</v>
      </c>
      <c r="C183" s="25" t="inlineStr">
        <is>
          <t>South</t>
        </is>
      </c>
      <c r="D183" s="25" t="inlineStr">
        <is>
          <t>Furniture</t>
        </is>
      </c>
      <c r="E183" s="25" t="inlineStr">
        <is>
          <t>Office Chair</t>
        </is>
      </c>
      <c r="F183" s="25" t="n">
        <v>2</v>
      </c>
      <c r="G183" s="25" t="n">
        <v>8500</v>
      </c>
      <c r="H183" s="28" t="n">
        <v>0</v>
      </c>
      <c r="I183" s="25" t="n">
        <v>5600</v>
      </c>
    </row>
    <row r="184">
      <c r="A184" s="25" t="inlineStr">
        <is>
          <t>ORD-10932</t>
        </is>
      </c>
      <c r="B184" s="26" t="n">
        <v>45729</v>
      </c>
      <c r="C184" s="25" t="inlineStr">
        <is>
          <t xml:space="preserve"> North </t>
        </is>
      </c>
      <c r="D184" s="25" t="inlineStr">
        <is>
          <t>Office Supplies</t>
        </is>
      </c>
      <c r="E184" s="25" t="inlineStr">
        <is>
          <t>Printer Paper Box</t>
        </is>
      </c>
      <c r="F184" s="25" t="n">
        <v>2</v>
      </c>
      <c r="G184" s="25" t="n">
        <v>1600</v>
      </c>
      <c r="H184" s="28" t="n">
        <v>0</v>
      </c>
      <c r="I184" s="25" t="n">
        <v>1050</v>
      </c>
    </row>
    <row r="185">
      <c r="A185" s="25" t="inlineStr">
        <is>
          <t>ORD-10935</t>
        </is>
      </c>
      <c r="B185" s="26" t="n">
        <v>45725</v>
      </c>
      <c r="C185" s="25" t="inlineStr">
        <is>
          <t>South</t>
        </is>
      </c>
      <c r="D185" s="25" t="inlineStr">
        <is>
          <t>Office Supplies</t>
        </is>
      </c>
      <c r="E185" s="25" t="inlineStr">
        <is>
          <t>Desk Organizer</t>
        </is>
      </c>
      <c r="F185" s="25" t="n">
        <v>3</v>
      </c>
      <c r="G185" s="25" t="n">
        <v>850</v>
      </c>
      <c r="H185" s="28" t="n">
        <v>0.2</v>
      </c>
      <c r="I185" s="25" t="n">
        <v>420</v>
      </c>
    </row>
    <row r="186">
      <c r="A186" s="25" t="inlineStr">
        <is>
          <t>ORD-11053</t>
        </is>
      </c>
      <c r="B186" s="26" t="n">
        <v>45974</v>
      </c>
      <c r="C186" s="25" t="inlineStr">
        <is>
          <t>South</t>
        </is>
      </c>
      <c r="D186" s="25" t="inlineStr">
        <is>
          <t>Technology</t>
        </is>
      </c>
      <c r="E186" s="25" t="inlineStr">
        <is>
          <t>Mechanical Keyboard</t>
        </is>
      </c>
      <c r="F186" s="25" t="n">
        <v>2</v>
      </c>
      <c r="G186" s="25" t="n">
        <v>4200</v>
      </c>
      <c r="H186" s="28" t="n">
        <v>0</v>
      </c>
      <c r="I186" s="25" t="n">
        <v>2500</v>
      </c>
    </row>
    <row r="187">
      <c r="A187" s="25" t="inlineStr">
        <is>
          <t>ORD-10936</t>
        </is>
      </c>
      <c r="B187" s="25" t="inlineStr">
        <is>
          <t>21-Nov-2025</t>
        </is>
      </c>
      <c r="C187" s="25" t="inlineStr">
        <is>
          <t>South</t>
        </is>
      </c>
      <c r="D187" s="25" t="inlineStr">
        <is>
          <t>Technology</t>
        </is>
      </c>
      <c r="E187" s="25" t="inlineStr">
        <is>
          <t>Wireless Mouse</t>
        </is>
      </c>
      <c r="F187" s="25" t="n">
        <v>1</v>
      </c>
      <c r="G187" s="25" t="n">
        <v>1200</v>
      </c>
      <c r="H187" s="28" t="n">
        <v>0</v>
      </c>
      <c r="I187" s="25" t="n">
        <v>650</v>
      </c>
    </row>
    <row r="188">
      <c r="A188" s="25" t="inlineStr">
        <is>
          <t>ORD-10439</t>
        </is>
      </c>
      <c r="B188" s="26" t="n">
        <v>45933</v>
      </c>
      <c r="C188" s="25" t="inlineStr">
        <is>
          <t>South</t>
        </is>
      </c>
      <c r="D188" s="25" t="inlineStr">
        <is>
          <t>Office Supplies</t>
        </is>
      </c>
      <c r="E188" s="25" t="inlineStr">
        <is>
          <t>Printer Paper Box</t>
        </is>
      </c>
      <c r="F188" s="25" t="n">
        <v>3</v>
      </c>
      <c r="G188" s="25" t="n">
        <v>1600</v>
      </c>
      <c r="H188" s="28" t="n">
        <v>0.05</v>
      </c>
      <c r="I188" s="25" t="n">
        <v>1050</v>
      </c>
    </row>
    <row r="189">
      <c r="A189" s="25" t="inlineStr">
        <is>
          <t>ORD-11073</t>
        </is>
      </c>
      <c r="B189" s="26" t="n">
        <v>45861</v>
      </c>
      <c r="C189" s="25" t="inlineStr">
        <is>
          <t>west</t>
        </is>
      </c>
      <c r="D189" s="25" t="inlineStr">
        <is>
          <t>Accessories</t>
        </is>
      </c>
      <c r="E189" s="25" t="inlineStr">
        <is>
          <t>USB-C Hub</t>
        </is>
      </c>
      <c r="F189" s="25" t="n">
        <v>3</v>
      </c>
      <c r="G189" s="25" t="n">
        <v>1800</v>
      </c>
      <c r="H189" s="28" t="n">
        <v>0</v>
      </c>
      <c r="I189" s="25" t="n">
        <v>980</v>
      </c>
    </row>
    <row r="190">
      <c r="A190" s="25" t="inlineStr">
        <is>
          <t>ORD-10331</t>
        </is>
      </c>
      <c r="B190" s="26" t="n">
        <v>45820</v>
      </c>
      <c r="C190" s="25" t="inlineStr">
        <is>
          <t>East</t>
        </is>
      </c>
      <c r="D190" s="25" t="inlineStr">
        <is>
          <t>Accessories</t>
        </is>
      </c>
      <c r="E190" s="25" t="inlineStr">
        <is>
          <t>Headphones</t>
        </is>
      </c>
      <c r="F190" s="25" t="n">
        <v>1</v>
      </c>
      <c r="G190" s="25" t="n">
        <v>4500</v>
      </c>
      <c r="H190" s="28" t="n">
        <v>0.05</v>
      </c>
      <c r="I190" s="25" t="n">
        <v>2600</v>
      </c>
    </row>
    <row r="191">
      <c r="A191" s="25" t="inlineStr">
        <is>
          <t>ORD-10289</t>
        </is>
      </c>
      <c r="B191" s="25" t="inlineStr">
        <is>
          <t>04-Mar-2025</t>
        </is>
      </c>
      <c r="C191" s="25" t="inlineStr">
        <is>
          <t>West</t>
        </is>
      </c>
      <c r="D191" s="25" t="inlineStr">
        <is>
          <t>Accessories</t>
        </is>
      </c>
      <c r="E191" s="25" t="inlineStr">
        <is>
          <t>Headphones</t>
        </is>
      </c>
      <c r="F191" s="25" t="n">
        <v>1</v>
      </c>
      <c r="G191" s="25" t="n">
        <v>4500</v>
      </c>
      <c r="H191" s="28" t="n">
        <v>0</v>
      </c>
      <c r="I191" s="25" t="n">
        <v>2600</v>
      </c>
    </row>
    <row r="192">
      <c r="A192" s="25" t="inlineStr">
        <is>
          <t>ORD-10413</t>
        </is>
      </c>
      <c r="B192" s="26" t="n">
        <v>45887</v>
      </c>
      <c r="C192" s="25" t="inlineStr">
        <is>
          <t>North</t>
        </is>
      </c>
      <c r="D192" s="25" t="inlineStr">
        <is>
          <t>Accessories</t>
        </is>
      </c>
      <c r="E192" s="25" t="inlineStr">
        <is>
          <t>Webcam</t>
        </is>
      </c>
      <c r="F192" s="25" t="n">
        <v>3</v>
      </c>
      <c r="G192" s="25" t="n">
        <v>3200</v>
      </c>
      <c r="H192" s="28" t="n">
        <v>0.15</v>
      </c>
      <c r="I192" s="25" t="n">
        <v>1900</v>
      </c>
    </row>
    <row r="193">
      <c r="A193" s="25" t="inlineStr">
        <is>
          <t>ORD-10743</t>
        </is>
      </c>
      <c r="B193" s="25" t="inlineStr">
        <is>
          <t>09-May-2025</t>
        </is>
      </c>
      <c r="C193" s="25" t="inlineStr">
        <is>
          <t>West</t>
        </is>
      </c>
      <c r="D193" s="25" t="inlineStr">
        <is>
          <t>Technology</t>
        </is>
      </c>
      <c r="E193" s="25" t="inlineStr">
        <is>
          <t>Monitor 24"</t>
        </is>
      </c>
      <c r="F193" s="25" t="n">
        <v>2</v>
      </c>
      <c r="G193" s="25" t="n">
        <v>11500</v>
      </c>
      <c r="H193" s="28" t="n">
        <v>0.2</v>
      </c>
      <c r="I193" s="25" t="n">
        <v>8200</v>
      </c>
    </row>
    <row r="194">
      <c r="A194" s="25" t="inlineStr">
        <is>
          <t>ORD-10360</t>
        </is>
      </c>
      <c r="B194" s="26" t="n">
        <v>45723</v>
      </c>
      <c r="C194" s="25" t="inlineStr">
        <is>
          <t>West</t>
        </is>
      </c>
      <c r="D194" s="25" t="inlineStr">
        <is>
          <t>Office Supplies</t>
        </is>
      </c>
      <c r="E194" s="25" t="inlineStr">
        <is>
          <t>Desk Organizer</t>
        </is>
      </c>
      <c r="F194" s="25" t="n">
        <v>3</v>
      </c>
      <c r="G194" s="25" t="n">
        <v>850</v>
      </c>
      <c r="H194" s="28" t="n">
        <v>0.1</v>
      </c>
      <c r="I194" s="25" t="n">
        <v>420</v>
      </c>
    </row>
    <row r="195">
      <c r="A195" s="25" t="inlineStr">
        <is>
          <t>ORD-11008</t>
        </is>
      </c>
      <c r="B195" s="26" t="n">
        <v>45881</v>
      </c>
      <c r="C195" s="25" t="inlineStr">
        <is>
          <t>west</t>
        </is>
      </c>
      <c r="D195" s="25" t="inlineStr">
        <is>
          <t>Office Supplies</t>
        </is>
      </c>
      <c r="E195" s="25" t="inlineStr">
        <is>
          <t>Notebook Set</t>
        </is>
      </c>
      <c r="F195" s="25" t="n">
        <v>6</v>
      </c>
      <c r="G195" s="25" t="n">
        <v>450</v>
      </c>
      <c r="H195" s="28" t="n">
        <v>0.15</v>
      </c>
      <c r="I195" s="25" t="n">
        <v>190</v>
      </c>
    </row>
    <row r="196">
      <c r="A196" s="25" t="inlineStr">
        <is>
          <t>ORD-10598</t>
        </is>
      </c>
      <c r="B196" s="25" t="inlineStr">
        <is>
          <t>10-Jan-2025</t>
        </is>
      </c>
      <c r="C196" s="25" t="inlineStr">
        <is>
          <t>West</t>
        </is>
      </c>
      <c r="D196" s="25" t="inlineStr">
        <is>
          <t>Accessories</t>
        </is>
      </c>
      <c r="E196" s="25" t="inlineStr">
        <is>
          <t>Webcam</t>
        </is>
      </c>
      <c r="F196" s="25" t="n">
        <v>2</v>
      </c>
      <c r="G196" s="25" t="n">
        <v>3200</v>
      </c>
      <c r="H196" s="28" t="n">
        <v>0</v>
      </c>
      <c r="I196" s="25" t="n">
        <v>1900</v>
      </c>
    </row>
    <row r="197">
      <c r="A197" s="25" t="inlineStr">
        <is>
          <t>ORD-10399</t>
        </is>
      </c>
      <c r="B197" s="26" t="n">
        <v>46016</v>
      </c>
      <c r="C197" s="25" t="inlineStr">
        <is>
          <t>West</t>
        </is>
      </c>
      <c r="D197" s="25" t="inlineStr">
        <is>
          <t>Office Supplies</t>
        </is>
      </c>
      <c r="E197" s="25" t="inlineStr">
        <is>
          <t>Printer Paper Box</t>
        </is>
      </c>
      <c r="F197" s="25" t="n">
        <v>4</v>
      </c>
      <c r="G197" s="25" t="n">
        <v>1600</v>
      </c>
      <c r="H197" s="28" t="n">
        <v>0.15</v>
      </c>
      <c r="I197" s="25" t="n">
        <v>1050</v>
      </c>
    </row>
    <row r="198">
      <c r="A198" s="25" t="inlineStr">
        <is>
          <t>ORD-10800</t>
        </is>
      </c>
      <c r="B198" s="26" t="n">
        <v>45705</v>
      </c>
      <c r="C198" s="25" t="inlineStr">
        <is>
          <t>West</t>
        </is>
      </c>
      <c r="D198" s="25" t="inlineStr">
        <is>
          <t>Accessories</t>
        </is>
      </c>
      <c r="E198" s="25" t="inlineStr">
        <is>
          <t>Webcam</t>
        </is>
      </c>
      <c r="F198" s="25" t="n">
        <v>1</v>
      </c>
      <c r="G198" s="25" t="n">
        <v>3200</v>
      </c>
      <c r="H198" s="28" t="n">
        <v>0</v>
      </c>
      <c r="I198" s="25" t="n">
        <v>1900</v>
      </c>
    </row>
    <row r="199">
      <c r="A199" s="25" t="inlineStr">
        <is>
          <t>ORD-11191</t>
        </is>
      </c>
      <c r="B199" s="26" t="n">
        <v>45982</v>
      </c>
      <c r="C199" s="25" t="inlineStr">
        <is>
          <t>West</t>
        </is>
      </c>
      <c r="D199" s="25" t="inlineStr">
        <is>
          <t>Accessories</t>
        </is>
      </c>
      <c r="E199" s="25" t="inlineStr">
        <is>
          <t>Webcam</t>
        </is>
      </c>
      <c r="F199" s="25" t="n">
        <v>1</v>
      </c>
      <c r="G199" s="25" t="n">
        <v>3200</v>
      </c>
      <c r="H199" s="28" t="n">
        <v>0</v>
      </c>
      <c r="I199" s="25" t="n">
        <v>1900</v>
      </c>
    </row>
    <row r="200">
      <c r="A200" s="25" t="inlineStr">
        <is>
          <t>ORD-10138</t>
        </is>
      </c>
      <c r="B200" s="26" t="n">
        <v>45883</v>
      </c>
      <c r="C200" s="25" t="inlineStr">
        <is>
          <t>WEST</t>
        </is>
      </c>
      <c r="D200" s="25" t="inlineStr">
        <is>
          <t>Office Supplies</t>
        </is>
      </c>
      <c r="E200" s="25" t="inlineStr">
        <is>
          <t>Notebook Set</t>
        </is>
      </c>
      <c r="F200" s="25" t="n">
        <v>7</v>
      </c>
      <c r="G200" s="25" t="n">
        <v>450</v>
      </c>
      <c r="H200" s="28" t="n">
        <v>0</v>
      </c>
      <c r="I200" s="25" t="n">
        <v>190</v>
      </c>
    </row>
    <row r="201">
      <c r="A201" s="25" t="inlineStr">
        <is>
          <t>ORD-10796</t>
        </is>
      </c>
      <c r="B201" s="26" t="n">
        <v>45933</v>
      </c>
      <c r="C201" s="25" t="inlineStr">
        <is>
          <t>South</t>
        </is>
      </c>
      <c r="D201" s="25" t="inlineStr">
        <is>
          <t>Accessories</t>
        </is>
      </c>
      <c r="E201" s="25" t="inlineStr">
        <is>
          <t>Headphones</t>
        </is>
      </c>
      <c r="F201" s="25" t="n">
        <v>2</v>
      </c>
      <c r="G201" s="25" t="n">
        <v>4500</v>
      </c>
      <c r="H201" s="28" t="n">
        <v>0</v>
      </c>
      <c r="I201" s="25" t="n">
        <v>2600</v>
      </c>
    </row>
    <row r="202">
      <c r="A202" s="25" t="inlineStr">
        <is>
          <t>ORD-10589</t>
        </is>
      </c>
      <c r="B202" s="26" t="n">
        <v>45974</v>
      </c>
      <c r="C202" s="25" t="inlineStr">
        <is>
          <t>South</t>
        </is>
      </c>
      <c r="D202" s="25" t="inlineStr">
        <is>
          <t>Furniture</t>
        </is>
      </c>
      <c r="E202" s="25" t="inlineStr">
        <is>
          <t>Bookshelf</t>
        </is>
      </c>
      <c r="F202" s="25" t="n">
        <v>2</v>
      </c>
      <c r="G202" s="25" t="n">
        <v>6200</v>
      </c>
      <c r="H202" s="28" t="n">
        <v>0</v>
      </c>
      <c r="I202" s="25" t="n">
        <v>4100</v>
      </c>
    </row>
    <row r="203">
      <c r="A203" s="25" t="inlineStr">
        <is>
          <t>ORD-10526</t>
        </is>
      </c>
      <c r="B203" s="26" t="n">
        <v>46009</v>
      </c>
      <c r="C203" s="25" t="inlineStr">
        <is>
          <t>North</t>
        </is>
      </c>
      <c r="D203" s="25" t="inlineStr">
        <is>
          <t>Office Supplies</t>
        </is>
      </c>
      <c r="E203" s="25" t="inlineStr">
        <is>
          <t>Notebook Set</t>
        </is>
      </c>
      <c r="F203" s="25" t="n">
        <v>5</v>
      </c>
      <c r="G203" s="25" t="n">
        <v>450</v>
      </c>
      <c r="H203" s="28" t="n">
        <v>0.05</v>
      </c>
      <c r="I203" s="25" t="n">
        <v>190</v>
      </c>
    </row>
    <row r="204">
      <c r="A204" s="25" t="inlineStr">
        <is>
          <t>ORD-10801</t>
        </is>
      </c>
      <c r="B204" s="26" t="n">
        <v>45748</v>
      </c>
      <c r="C204" s="25" t="inlineStr">
        <is>
          <t>South</t>
        </is>
      </c>
      <c r="D204" s="25" t="inlineStr">
        <is>
          <t>Technology</t>
        </is>
      </c>
      <c r="E204" s="25" t="inlineStr">
        <is>
          <t>Mechanical Keyboard</t>
        </is>
      </c>
      <c r="F204" s="25" t="n">
        <v>1</v>
      </c>
      <c r="G204" s="25" t="n">
        <v>4200</v>
      </c>
      <c r="H204" s="28" t="n">
        <v>0</v>
      </c>
      <c r="I204" s="25" t="n">
        <v>2500</v>
      </c>
    </row>
    <row r="205">
      <c r="A205" s="25" t="inlineStr">
        <is>
          <t>ORD-11036</t>
        </is>
      </c>
      <c r="B205" s="26" t="n">
        <v>45987</v>
      </c>
      <c r="C205" s="25" t="inlineStr">
        <is>
          <t>East</t>
        </is>
      </c>
      <c r="D205" s="25" t="inlineStr">
        <is>
          <t>Office Supplies</t>
        </is>
      </c>
      <c r="E205" s="25" t="inlineStr">
        <is>
          <t>Notebook Set</t>
        </is>
      </c>
      <c r="F205" s="25" t="n">
        <v>5</v>
      </c>
      <c r="G205" s="25" t="n">
        <v>450</v>
      </c>
      <c r="H205" s="28" t="n">
        <v>0</v>
      </c>
      <c r="I205" s="25" t="n">
        <v>190</v>
      </c>
    </row>
    <row r="206">
      <c r="A206" s="25" t="inlineStr">
        <is>
          <t>ORD-10434</t>
        </is>
      </c>
      <c r="B206" s="26" t="n">
        <v>45740</v>
      </c>
      <c r="C206" s="25" t="inlineStr">
        <is>
          <t>South</t>
        </is>
      </c>
      <c r="D206" s="25" t="inlineStr">
        <is>
          <t>Technology</t>
        </is>
      </c>
      <c r="E206" s="25" t="inlineStr">
        <is>
          <t>Wireless Mouse</t>
        </is>
      </c>
      <c r="F206" s="25" t="n">
        <v>4</v>
      </c>
      <c r="G206" s="25" t="n">
        <v>1200</v>
      </c>
      <c r="H206" s="28" t="n">
        <v>0.15</v>
      </c>
      <c r="I206" s="25" t="n">
        <v>650</v>
      </c>
    </row>
    <row r="207">
      <c r="A207" s="25" t="inlineStr">
        <is>
          <t>ORD-11116</t>
        </is>
      </c>
      <c r="B207" s="26" t="n">
        <v>45933</v>
      </c>
      <c r="C207" s="25" t="inlineStr">
        <is>
          <t>West</t>
        </is>
      </c>
      <c r="D207" s="25" t="inlineStr">
        <is>
          <t>Furniture</t>
        </is>
      </c>
      <c r="E207" s="25" t="inlineStr">
        <is>
          <t>Office Chair</t>
        </is>
      </c>
      <c r="F207" s="25" t="n">
        <v>2</v>
      </c>
      <c r="G207" s="25" t="n">
        <v>8500</v>
      </c>
      <c r="H207" s="28" t="n">
        <v>0</v>
      </c>
      <c r="I207" s="25" t="n">
        <v>5600</v>
      </c>
    </row>
    <row r="208">
      <c r="A208" s="25" t="inlineStr">
        <is>
          <t>ORD-10116</t>
        </is>
      </c>
      <c r="B208" s="26" t="n">
        <v>45976</v>
      </c>
      <c r="C208" s="25" t="inlineStr">
        <is>
          <t>West</t>
        </is>
      </c>
      <c r="D208" s="25" t="inlineStr">
        <is>
          <t>Office Supplies</t>
        </is>
      </c>
      <c r="E208" s="25" t="inlineStr">
        <is>
          <t>Notebook Set</t>
        </is>
      </c>
      <c r="F208" s="25" t="n">
        <v>4</v>
      </c>
      <c r="G208" s="25" t="n">
        <v>450</v>
      </c>
      <c r="H208" s="28" t="n">
        <v>0.2</v>
      </c>
      <c r="I208" s="25" t="n">
        <v>190</v>
      </c>
    </row>
    <row r="209">
      <c r="A209" s="25" t="inlineStr">
        <is>
          <t>ORD-11193</t>
        </is>
      </c>
      <c r="B209" s="26" t="n">
        <v>45785</v>
      </c>
      <c r="C209" s="25" t="inlineStr">
        <is>
          <t>East</t>
        </is>
      </c>
      <c r="D209" s="25" t="inlineStr">
        <is>
          <t>Office Supplies</t>
        </is>
      </c>
      <c r="E209" s="25" t="inlineStr">
        <is>
          <t>Printer Paper Box</t>
        </is>
      </c>
      <c r="F209" s="25" t="n">
        <v>3</v>
      </c>
      <c r="G209" s="25" t="n">
        <v>1600</v>
      </c>
      <c r="H209" s="28" t="n">
        <v>0</v>
      </c>
      <c r="I209" s="25" t="n">
        <v>1050</v>
      </c>
    </row>
    <row r="210">
      <c r="A210" s="25" t="inlineStr">
        <is>
          <t>ORD-10822</t>
        </is>
      </c>
      <c r="B210" s="26" t="n">
        <v>45874</v>
      </c>
      <c r="C210" s="25" t="inlineStr">
        <is>
          <t>South</t>
        </is>
      </c>
      <c r="D210" s="25" t="inlineStr">
        <is>
          <t>Office Supplies</t>
        </is>
      </c>
      <c r="E210" s="25" t="inlineStr">
        <is>
          <t>Printer Paper Box</t>
        </is>
      </c>
      <c r="F210" s="25" t="n">
        <v>2</v>
      </c>
      <c r="G210" s="25" t="n">
        <v>1600</v>
      </c>
      <c r="H210" s="28" t="n">
        <v>0.05</v>
      </c>
      <c r="I210" s="25" t="n">
        <v>1050</v>
      </c>
    </row>
    <row r="211">
      <c r="A211" s="25" t="inlineStr">
        <is>
          <t>ORD-10209</t>
        </is>
      </c>
      <c r="B211" s="26" t="n">
        <v>45792</v>
      </c>
      <c r="C211" s="25" t="inlineStr">
        <is>
          <t>East</t>
        </is>
      </c>
      <c r="D211" s="25" t="inlineStr">
        <is>
          <t>Technology</t>
        </is>
      </c>
      <c r="E211" s="25" t="inlineStr">
        <is>
          <t>Mechanical Keyboard</t>
        </is>
      </c>
      <c r="F211" s="25" t="n">
        <v>3</v>
      </c>
      <c r="G211" s="25" t="n">
        <v>4200</v>
      </c>
      <c r="H211" s="28" t="n">
        <v>0.05</v>
      </c>
      <c r="I211" s="25" t="n">
        <v>2500</v>
      </c>
    </row>
    <row r="212">
      <c r="A212" s="25" t="inlineStr">
        <is>
          <t>ORD-10400</t>
        </is>
      </c>
      <c r="B212" s="26" t="n">
        <v>45957</v>
      </c>
      <c r="C212" s="25" t="inlineStr">
        <is>
          <t>West</t>
        </is>
      </c>
      <c r="D212" s="25" t="inlineStr">
        <is>
          <t>Accessories</t>
        </is>
      </c>
      <c r="E212" s="25" t="inlineStr">
        <is>
          <t>Webcam</t>
        </is>
      </c>
      <c r="F212" s="25" t="n">
        <v>1</v>
      </c>
      <c r="G212" s="25" t="n">
        <v>3200</v>
      </c>
      <c r="H212" s="28" t="n">
        <v>0</v>
      </c>
      <c r="I212" s="25" t="n">
        <v>1900</v>
      </c>
    </row>
    <row r="213">
      <c r="A213" s="25" t="inlineStr">
        <is>
          <t>ORD-11178</t>
        </is>
      </c>
      <c r="B213" s="26" t="n">
        <v>45939</v>
      </c>
      <c r="C213" s="25" t="inlineStr">
        <is>
          <t>West</t>
        </is>
      </c>
      <c r="D213" s="25" t="inlineStr">
        <is>
          <t>Furniture</t>
        </is>
      </c>
      <c r="E213" s="25" t="inlineStr">
        <is>
          <t>Bookshelf</t>
        </is>
      </c>
      <c r="F213" s="25" t="n">
        <v>2</v>
      </c>
      <c r="G213" s="25" t="n">
        <v>6200</v>
      </c>
      <c r="H213" s="28" t="n">
        <v>0</v>
      </c>
      <c r="I213" s="25" t="n">
        <v>4100</v>
      </c>
    </row>
    <row r="214">
      <c r="A214" s="25" t="inlineStr">
        <is>
          <t>ORD-10023</t>
        </is>
      </c>
      <c r="B214" s="26" t="n">
        <v>45754</v>
      </c>
      <c r="C214" s="25" t="inlineStr">
        <is>
          <t>North</t>
        </is>
      </c>
      <c r="D214" s="25" t="inlineStr">
        <is>
          <t>Office Supplies</t>
        </is>
      </c>
      <c r="E214" s="25" t="inlineStr">
        <is>
          <t>Printer Paper Box</t>
        </is>
      </c>
      <c r="F214" s="25" t="n">
        <v>5</v>
      </c>
      <c r="G214" s="25" t="n">
        <v>1600</v>
      </c>
      <c r="H214" s="28" t="n">
        <v>0.1</v>
      </c>
      <c r="I214" s="25" t="n">
        <v>1050</v>
      </c>
    </row>
    <row r="215">
      <c r="A215" s="25" t="inlineStr">
        <is>
          <t>ORD-10630</t>
        </is>
      </c>
      <c r="B215" s="26" t="n">
        <v>45715</v>
      </c>
      <c r="C215" s="25" t="inlineStr">
        <is>
          <t>West</t>
        </is>
      </c>
      <c r="D215" s="25" t="inlineStr">
        <is>
          <t>Office Supplies</t>
        </is>
      </c>
      <c r="E215" s="25" t="inlineStr">
        <is>
          <t>Printer Paper Box</t>
        </is>
      </c>
      <c r="F215" s="25" t="n">
        <v>6</v>
      </c>
      <c r="G215" s="25" t="n">
        <v>1600</v>
      </c>
      <c r="H215" s="28" t="n">
        <v>0.15</v>
      </c>
      <c r="I215" s="25" t="n">
        <v>1050</v>
      </c>
    </row>
    <row r="216">
      <c r="A216" s="25" t="inlineStr">
        <is>
          <t>ORD-10643</t>
        </is>
      </c>
      <c r="B216" s="26" t="n">
        <v>45805</v>
      </c>
      <c r="C216" s="25" t="inlineStr">
        <is>
          <t>West</t>
        </is>
      </c>
      <c r="D216" s="25" t="inlineStr">
        <is>
          <t>Office Supplies</t>
        </is>
      </c>
      <c r="E216" s="25" t="inlineStr">
        <is>
          <t>Notebook Set</t>
        </is>
      </c>
      <c r="F216" s="25" t="n">
        <v>6</v>
      </c>
      <c r="G216" s="25" t="n">
        <v>450</v>
      </c>
      <c r="H216" s="28" t="n">
        <v>0</v>
      </c>
      <c r="I216" s="25" t="n">
        <v>190</v>
      </c>
    </row>
    <row r="217">
      <c r="A217" s="25" t="inlineStr">
        <is>
          <t>ORD-10313</t>
        </is>
      </c>
      <c r="B217" s="26" t="n">
        <v>45914</v>
      </c>
      <c r="C217" s="25" t="inlineStr">
        <is>
          <t>East</t>
        </is>
      </c>
      <c r="D217" s="25" t="inlineStr">
        <is>
          <t>Technology</t>
        </is>
      </c>
      <c r="E217" s="25" t="inlineStr">
        <is>
          <t>Monitor 24"</t>
        </is>
      </c>
      <c r="F217" s="25" t="n">
        <v>1</v>
      </c>
      <c r="G217" s="25" t="n">
        <v>11500</v>
      </c>
      <c r="H217" s="28" t="n">
        <v>0.2</v>
      </c>
      <c r="I217" s="25" t="n">
        <v>8200</v>
      </c>
    </row>
    <row r="218">
      <c r="A218" s="25" t="inlineStr">
        <is>
          <t>ORD-10863</t>
        </is>
      </c>
      <c r="B218" s="26" t="n">
        <v>45938</v>
      </c>
      <c r="C218" s="25" t="inlineStr">
        <is>
          <t>North</t>
        </is>
      </c>
      <c r="D218" s="25" t="inlineStr">
        <is>
          <t>Furniture</t>
        </is>
      </c>
      <c r="E218" s="25" t="inlineStr">
        <is>
          <t>Standing Desk</t>
        </is>
      </c>
      <c r="F218" s="25" t="n">
        <v>1</v>
      </c>
      <c r="G218" s="25" t="n">
        <v>19500</v>
      </c>
      <c r="H218" s="28" t="n">
        <v>0.2</v>
      </c>
      <c r="I218" s="25" t="n">
        <v>13800</v>
      </c>
    </row>
    <row r="219">
      <c r="A219" s="25" t="inlineStr">
        <is>
          <t>ORD-10959</t>
        </is>
      </c>
      <c r="B219" s="26" t="n">
        <v>46013</v>
      </c>
      <c r="C219" s="25" t="inlineStr">
        <is>
          <t>WEST</t>
        </is>
      </c>
      <c r="D219" s="25" t="inlineStr">
        <is>
          <t>Office Supplies</t>
        </is>
      </c>
      <c r="E219" s="25" t="inlineStr">
        <is>
          <t>Printer Paper Box</t>
        </is>
      </c>
      <c r="F219" s="25" t="n">
        <v>3</v>
      </c>
      <c r="G219" s="25" t="n">
        <v>1600</v>
      </c>
      <c r="H219" s="28" t="n">
        <v>0.05</v>
      </c>
      <c r="I219" s="25" t="n">
        <v>1050</v>
      </c>
    </row>
    <row r="220">
      <c r="A220" s="25" t="inlineStr">
        <is>
          <t>ORD-11192</t>
        </is>
      </c>
      <c r="B220" s="26" t="n">
        <v>46007</v>
      </c>
      <c r="C220" s="25" t="inlineStr">
        <is>
          <t>North</t>
        </is>
      </c>
      <c r="D220" s="25" t="inlineStr">
        <is>
          <t>Office Supplies</t>
        </is>
      </c>
      <c r="E220" s="25" t="inlineStr">
        <is>
          <t>Notebook Set</t>
        </is>
      </c>
      <c r="F220" s="25" t="n">
        <v>7</v>
      </c>
      <c r="G220" s="25" t="n">
        <v>450</v>
      </c>
      <c r="H220" s="28" t="n">
        <v>0</v>
      </c>
      <c r="I220" s="25" t="n">
        <v>190</v>
      </c>
    </row>
    <row r="221">
      <c r="A221" s="25" t="inlineStr">
        <is>
          <t>ORD-10433</t>
        </is>
      </c>
      <c r="B221" s="26" t="n">
        <v>45834</v>
      </c>
      <c r="C221" s="25" t="inlineStr">
        <is>
          <t>WEST</t>
        </is>
      </c>
      <c r="D221" s="25" t="inlineStr">
        <is>
          <t>Office Supplies</t>
        </is>
      </c>
      <c r="E221" s="25" t="inlineStr">
        <is>
          <t>Printer Paper Box</t>
        </is>
      </c>
      <c r="F221" s="25" t="n">
        <v>3</v>
      </c>
      <c r="G221" s="25" t="n">
        <v>1600</v>
      </c>
      <c r="H221" s="28" t="n">
        <v>0.15</v>
      </c>
      <c r="I221" s="25" t="n">
        <v>1050</v>
      </c>
    </row>
    <row r="222">
      <c r="A222" s="25" t="inlineStr">
        <is>
          <t>ORD-10382</t>
        </is>
      </c>
      <c r="B222" s="26" t="n">
        <v>45771</v>
      </c>
      <c r="C222" s="25" t="inlineStr">
        <is>
          <t>South</t>
        </is>
      </c>
      <c r="D222" s="25" t="inlineStr">
        <is>
          <t>Office Supplies</t>
        </is>
      </c>
      <c r="E222" s="25" t="inlineStr">
        <is>
          <t>Desk Organizer</t>
        </is>
      </c>
      <c r="F222" s="25" t="n">
        <v>5</v>
      </c>
      <c r="G222" s="25" t="n">
        <v>850</v>
      </c>
      <c r="H222" s="28" t="n">
        <v>0</v>
      </c>
      <c r="I222" s="25" t="n">
        <v>420</v>
      </c>
    </row>
    <row r="223">
      <c r="A223" s="25" t="inlineStr">
        <is>
          <t>ORD-10834</t>
        </is>
      </c>
      <c r="B223" s="26" t="n">
        <v>45775</v>
      </c>
      <c r="C223" s="25" t="inlineStr">
        <is>
          <t>North</t>
        </is>
      </c>
      <c r="D223" s="25" t="inlineStr">
        <is>
          <t>Accessories</t>
        </is>
      </c>
      <c r="E223" s="25" t="inlineStr">
        <is>
          <t>Headphones</t>
        </is>
      </c>
      <c r="F223" s="25" t="n">
        <v>2</v>
      </c>
      <c r="G223" s="25" t="n">
        <v>4500</v>
      </c>
      <c r="H223" s="28" t="n">
        <v>0</v>
      </c>
      <c r="I223" s="25" t="n">
        <v>2600</v>
      </c>
    </row>
    <row r="224">
      <c r="A224" s="25" t="inlineStr">
        <is>
          <t>ORD-10760</t>
        </is>
      </c>
      <c r="B224" s="26" t="n">
        <v>45762</v>
      </c>
      <c r="C224" s="25" t="inlineStr">
        <is>
          <t>East</t>
        </is>
      </c>
      <c r="D224" s="25" t="inlineStr">
        <is>
          <t>Accessories</t>
        </is>
      </c>
      <c r="E224" s="25" t="inlineStr">
        <is>
          <t>Headphones</t>
        </is>
      </c>
      <c r="F224" s="25" t="n">
        <v>1</v>
      </c>
      <c r="G224" s="25" t="n">
        <v>4500</v>
      </c>
      <c r="H224" s="28" t="n">
        <v>0</v>
      </c>
      <c r="I224" s="25" t="n">
        <v>2600</v>
      </c>
    </row>
    <row r="225">
      <c r="A225" s="25" t="inlineStr">
        <is>
          <t>ORD-10244</t>
        </is>
      </c>
      <c r="B225" s="26" t="n">
        <v>45659</v>
      </c>
      <c r="C225" s="25" t="inlineStr">
        <is>
          <t>West</t>
        </is>
      </c>
      <c r="D225" s="25" t="inlineStr">
        <is>
          <t>Technology</t>
        </is>
      </c>
      <c r="E225" s="25" t="inlineStr">
        <is>
          <t>Mechanical Keyboard</t>
        </is>
      </c>
      <c r="F225" s="25" t="n">
        <v>1</v>
      </c>
      <c r="G225" s="25" t="n">
        <v>4200</v>
      </c>
      <c r="H225" s="28" t="n">
        <v>0.1</v>
      </c>
      <c r="I225" s="25" t="n">
        <v>2500</v>
      </c>
    </row>
    <row r="226">
      <c r="A226" s="25" t="inlineStr">
        <is>
          <t>ORD-10025</t>
        </is>
      </c>
      <c r="B226" s="26" t="n">
        <v>45874</v>
      </c>
      <c r="C226" s="25" t="inlineStr">
        <is>
          <t>West</t>
        </is>
      </c>
      <c r="D226" s="25" t="inlineStr">
        <is>
          <t>Technology</t>
        </is>
      </c>
      <c r="E226" s="25" t="inlineStr">
        <is>
          <t>Wireless Mouse</t>
        </is>
      </c>
      <c r="F226" s="25" t="n">
        <v>2</v>
      </c>
      <c r="G226" s="25" t="n">
        <v>1200</v>
      </c>
      <c r="H226" s="28" t="n">
        <v>0.05</v>
      </c>
      <c r="I226" s="25" t="n">
        <v>650</v>
      </c>
    </row>
    <row r="227">
      <c r="A227" s="25" t="inlineStr">
        <is>
          <t>ORD-10005</t>
        </is>
      </c>
      <c r="B227" s="26" t="n">
        <v>45917</v>
      </c>
      <c r="C227" s="25" t="inlineStr">
        <is>
          <t>East</t>
        </is>
      </c>
      <c r="D227" s="25" t="inlineStr">
        <is>
          <t>Office Supplies</t>
        </is>
      </c>
      <c r="E227" s="25" t="inlineStr">
        <is>
          <t>Desk Organizer</t>
        </is>
      </c>
      <c r="F227" s="25" t="n">
        <v>5</v>
      </c>
      <c r="G227" s="25" t="n">
        <v>850</v>
      </c>
      <c r="H227" s="28" t="n">
        <v>0</v>
      </c>
      <c r="I227" s="25" t="n">
        <v>420</v>
      </c>
    </row>
    <row r="228">
      <c r="A228" s="25" t="inlineStr">
        <is>
          <t>ORD-11005</t>
        </is>
      </c>
      <c r="B228" s="25" t="inlineStr">
        <is>
          <t>21-Feb-2025</t>
        </is>
      </c>
      <c r="C228" s="25" t="inlineStr">
        <is>
          <t>West</t>
        </is>
      </c>
      <c r="D228" s="25" t="inlineStr">
        <is>
          <t>Office Supplies</t>
        </is>
      </c>
      <c r="E228" s="25" t="inlineStr">
        <is>
          <t>Notebook Set</t>
        </is>
      </c>
      <c r="F228" s="25" t="n">
        <v>4</v>
      </c>
      <c r="G228" s="25" t="n">
        <v>450</v>
      </c>
      <c r="H228" s="28" t="n">
        <v>0.2</v>
      </c>
      <c r="I228" s="25" t="n">
        <v>190</v>
      </c>
    </row>
    <row r="229">
      <c r="A229" s="25" t="inlineStr">
        <is>
          <t>ORD-10226</t>
        </is>
      </c>
      <c r="B229" s="26" t="n">
        <v>45984</v>
      </c>
      <c r="C229" s="25" t="inlineStr">
        <is>
          <t>North</t>
        </is>
      </c>
      <c r="D229" s="25" t="inlineStr">
        <is>
          <t>Office Supplies</t>
        </is>
      </c>
      <c r="E229" s="25" t="inlineStr">
        <is>
          <t>Printer Paper Box</t>
        </is>
      </c>
      <c r="F229" s="25" t="n">
        <v>4</v>
      </c>
      <c r="G229" s="25" t="n">
        <v>1600</v>
      </c>
      <c r="H229" s="28" t="n">
        <v>0</v>
      </c>
      <c r="I229" s="25" t="n">
        <v>1050</v>
      </c>
    </row>
    <row r="230">
      <c r="A230" s="25" t="inlineStr">
        <is>
          <t>ORD-10471</t>
        </is>
      </c>
      <c r="B230" s="26" t="n">
        <v>45788</v>
      </c>
      <c r="C230" s="25" t="inlineStr">
        <is>
          <t>South</t>
        </is>
      </c>
      <c r="D230" s="25" t="inlineStr">
        <is>
          <t>Office Supplies</t>
        </is>
      </c>
      <c r="E230" s="25" t="inlineStr">
        <is>
          <t>Printer Paper Box</t>
        </is>
      </c>
      <c r="F230" s="25" t="n">
        <v>6</v>
      </c>
      <c r="G230" s="25" t="n">
        <v>1600</v>
      </c>
      <c r="H230" s="28" t="n">
        <v>0</v>
      </c>
      <c r="I230" s="25" t="n">
        <v>1050</v>
      </c>
    </row>
    <row r="231">
      <c r="A231" s="25" t="inlineStr">
        <is>
          <t>ORD-10711</t>
        </is>
      </c>
      <c r="B231" s="26" t="n">
        <v>45788</v>
      </c>
      <c r="C231" s="25" t="inlineStr">
        <is>
          <t>South</t>
        </is>
      </c>
      <c r="D231" s="25" t="inlineStr">
        <is>
          <t>Office Supplies</t>
        </is>
      </c>
      <c r="E231" s="25" t="inlineStr">
        <is>
          <t>Notebook Set</t>
        </is>
      </c>
      <c r="F231" s="25" t="n">
        <v>2</v>
      </c>
      <c r="G231" s="25" t="n">
        <v>450</v>
      </c>
      <c r="H231" s="28" t="n">
        <v>0</v>
      </c>
      <c r="I231" s="25" t="n">
        <v>190</v>
      </c>
    </row>
    <row r="232">
      <c r="A232" s="25" t="inlineStr">
        <is>
          <t>ORD-11031</t>
        </is>
      </c>
      <c r="B232" s="25" t="inlineStr">
        <is>
          <t>13-Jan-2025</t>
        </is>
      </c>
      <c r="C232" s="25" t="inlineStr">
        <is>
          <t>North</t>
        </is>
      </c>
      <c r="D232" s="25" t="inlineStr">
        <is>
          <t>Office Supplies</t>
        </is>
      </c>
      <c r="E232" s="25" t="inlineStr">
        <is>
          <t>Notebook Set</t>
        </is>
      </c>
      <c r="F232" s="25" t="n">
        <v>7</v>
      </c>
      <c r="G232" s="25" t="n">
        <v>450</v>
      </c>
      <c r="H232" s="28" t="n">
        <v>0</v>
      </c>
      <c r="I232" s="25" t="n">
        <v>190</v>
      </c>
    </row>
    <row r="233">
      <c r="A233" s="25" t="inlineStr">
        <is>
          <t>ORD-10566</t>
        </is>
      </c>
      <c r="B233" s="26" t="n">
        <v>45947</v>
      </c>
      <c r="C233" s="25" t="inlineStr">
        <is>
          <t>west</t>
        </is>
      </c>
      <c r="D233" s="25" t="inlineStr">
        <is>
          <t>Office Supplies</t>
        </is>
      </c>
      <c r="E233" s="25" t="inlineStr">
        <is>
          <t>Notebook Set</t>
        </is>
      </c>
      <c r="F233" s="25" t="n">
        <v>6</v>
      </c>
      <c r="G233" s="25" t="n">
        <v>450</v>
      </c>
      <c r="H233" s="28" t="n">
        <v>0</v>
      </c>
      <c r="I233" s="25" t="n">
        <v>190</v>
      </c>
    </row>
    <row r="234">
      <c r="A234" s="25" t="inlineStr">
        <is>
          <t>ORD-10369</t>
        </is>
      </c>
      <c r="B234" s="26" t="n">
        <v>45811</v>
      </c>
      <c r="C234" s="25" t="inlineStr">
        <is>
          <t>South</t>
        </is>
      </c>
      <c r="D234" s="25" t="inlineStr">
        <is>
          <t>Accessories</t>
        </is>
      </c>
      <c r="E234" s="25" t="inlineStr">
        <is>
          <t>USB-C Hub</t>
        </is>
      </c>
      <c r="F234" s="25" t="n">
        <v>3</v>
      </c>
      <c r="G234" s="25" t="n">
        <v>1800</v>
      </c>
      <c r="H234" s="28" t="n">
        <v>0.2</v>
      </c>
      <c r="I234" s="25" t="n">
        <v>980</v>
      </c>
    </row>
    <row r="235">
      <c r="A235" s="25" t="inlineStr">
        <is>
          <t>ORD-10656</t>
        </is>
      </c>
      <c r="B235" s="26" t="n">
        <v>45693</v>
      </c>
      <c r="C235" s="25" t="inlineStr">
        <is>
          <t>West</t>
        </is>
      </c>
      <c r="D235" s="25" t="inlineStr">
        <is>
          <t>Accessories</t>
        </is>
      </c>
      <c r="E235" s="25" t="inlineStr">
        <is>
          <t>Webcam</t>
        </is>
      </c>
      <c r="F235" s="25" t="n">
        <v>2</v>
      </c>
      <c r="G235" s="25" t="n">
        <v>3200</v>
      </c>
      <c r="H235" s="28" t="n">
        <v>0</v>
      </c>
      <c r="I235" s="25" t="n">
        <v>1900</v>
      </c>
    </row>
    <row r="236">
      <c r="A236" s="25" t="inlineStr">
        <is>
          <t>ORD-10821</t>
        </is>
      </c>
      <c r="B236" s="26" t="n">
        <v>45888</v>
      </c>
      <c r="C236" s="25" t="inlineStr">
        <is>
          <t>East</t>
        </is>
      </c>
      <c r="D236" s="25" t="inlineStr">
        <is>
          <t>Accessories</t>
        </is>
      </c>
      <c r="E236" s="25" t="inlineStr">
        <is>
          <t>USB-C Hub</t>
        </is>
      </c>
      <c r="F236" s="25" t="n">
        <v>1</v>
      </c>
      <c r="G236" s="25" t="n">
        <v>1800</v>
      </c>
      <c r="H236" s="28" t="n">
        <v>0.15</v>
      </c>
      <c r="I236" s="25" t="n">
        <v>980</v>
      </c>
    </row>
    <row r="237">
      <c r="A237" s="25" t="inlineStr">
        <is>
          <t>ORD-10200</t>
        </is>
      </c>
      <c r="B237" s="26" t="n">
        <v>45939</v>
      </c>
      <c r="C237" s="25" t="inlineStr">
        <is>
          <t xml:space="preserve"> North </t>
        </is>
      </c>
      <c r="D237" s="25" t="inlineStr">
        <is>
          <t>Office Supplies</t>
        </is>
      </c>
      <c r="E237" s="25" t="inlineStr">
        <is>
          <t>Desk Organizer</t>
        </is>
      </c>
      <c r="F237" s="25" t="n">
        <v>1</v>
      </c>
      <c r="G237" s="25" t="n">
        <v>850</v>
      </c>
      <c r="H237" s="28" t="n">
        <v>0</v>
      </c>
      <c r="I237" s="25" t="n">
        <v>420</v>
      </c>
    </row>
    <row r="238">
      <c r="A238" s="25" t="inlineStr">
        <is>
          <t>ORD-10806</t>
        </is>
      </c>
      <c r="B238" s="25" t="inlineStr">
        <is>
          <t>02-Dec-2025</t>
        </is>
      </c>
      <c r="C238" s="25" t="inlineStr">
        <is>
          <t>West</t>
        </is>
      </c>
      <c r="D238" s="25" t="inlineStr">
        <is>
          <t>Office Supplies</t>
        </is>
      </c>
      <c r="E238" s="25" t="inlineStr">
        <is>
          <t>Printer Paper Box</t>
        </is>
      </c>
      <c r="F238" s="25" t="n">
        <v>2</v>
      </c>
      <c r="G238" s="25" t="n">
        <v>1600</v>
      </c>
      <c r="H238" s="28" t="n">
        <v>0</v>
      </c>
      <c r="I238" s="25" t="n">
        <v>1050</v>
      </c>
    </row>
    <row r="239">
      <c r="A239" s="25" t="inlineStr">
        <is>
          <t>ORD-11079</t>
        </is>
      </c>
      <c r="B239" s="26" t="n">
        <v>45739</v>
      </c>
      <c r="C239" s="25" t="inlineStr">
        <is>
          <t>North</t>
        </is>
      </c>
      <c r="D239" s="25" t="inlineStr">
        <is>
          <t>Technology</t>
        </is>
      </c>
      <c r="E239" s="25" t="inlineStr">
        <is>
          <t>Monitor 24"</t>
        </is>
      </c>
      <c r="F239" s="25" t="n">
        <v>1</v>
      </c>
      <c r="G239" s="25" t="n">
        <v>11500</v>
      </c>
      <c r="H239" s="28" t="n">
        <v>0</v>
      </c>
      <c r="I239" s="25" t="n">
        <v>8200</v>
      </c>
    </row>
    <row r="240">
      <c r="A240" s="25" t="inlineStr">
        <is>
          <t>ORD-10511</t>
        </is>
      </c>
      <c r="B240" s="26" t="n">
        <v>45952</v>
      </c>
      <c r="C240" s="25" t="inlineStr">
        <is>
          <t>East</t>
        </is>
      </c>
      <c r="D240" s="25" t="inlineStr">
        <is>
          <t>Technology</t>
        </is>
      </c>
      <c r="E240" s="25" t="inlineStr">
        <is>
          <t>Mechanical Keyboard</t>
        </is>
      </c>
      <c r="F240" s="25" t="n">
        <v>1</v>
      </c>
      <c r="G240" s="25" t="n">
        <v>4200</v>
      </c>
      <c r="H240" s="28" t="n">
        <v>0.15</v>
      </c>
      <c r="I240" s="25" t="n">
        <v>2500</v>
      </c>
    </row>
    <row r="241">
      <c r="A241" s="25" t="inlineStr">
        <is>
          <t>ORD-11021</t>
        </is>
      </c>
      <c r="B241" s="26" t="n">
        <v>45970</v>
      </c>
      <c r="C241" s="25" t="inlineStr">
        <is>
          <t>North</t>
        </is>
      </c>
      <c r="D241" s="25" t="inlineStr">
        <is>
          <t>Office Supplies</t>
        </is>
      </c>
      <c r="E241" s="25" t="inlineStr">
        <is>
          <t>Printer Paper Box</t>
        </is>
      </c>
      <c r="F241" s="25" t="n">
        <v>6</v>
      </c>
      <c r="G241" s="25" t="n">
        <v>1600</v>
      </c>
      <c r="H241" s="28" t="n">
        <v>0.1</v>
      </c>
      <c r="I241" s="25" t="n">
        <v>1050</v>
      </c>
    </row>
    <row r="242">
      <c r="A242" s="25" t="inlineStr">
        <is>
          <t>ORD-10515</t>
        </is>
      </c>
      <c r="B242" s="26" t="n">
        <v>45785</v>
      </c>
      <c r="C242" s="25" t="inlineStr">
        <is>
          <t>North</t>
        </is>
      </c>
      <c r="D242" s="25" t="inlineStr">
        <is>
          <t>Accessories</t>
        </is>
      </c>
      <c r="E242" s="25" t="inlineStr">
        <is>
          <t>USB-C Hub</t>
        </is>
      </c>
      <c r="F242" s="25" t="n">
        <v>1</v>
      </c>
      <c r="G242" s="25" t="n">
        <v>1800</v>
      </c>
      <c r="H242" s="28" t="n">
        <v>0</v>
      </c>
      <c r="I242" s="25" t="n">
        <v>980</v>
      </c>
    </row>
    <row r="243">
      <c r="A243" s="25" t="inlineStr">
        <is>
          <t>ORD-10372</t>
        </is>
      </c>
      <c r="B243" s="26" t="n">
        <v>45948</v>
      </c>
      <c r="C243" s="25" t="inlineStr">
        <is>
          <t>West</t>
        </is>
      </c>
      <c r="D243" s="25" t="inlineStr">
        <is>
          <t>Office Supplies</t>
        </is>
      </c>
      <c r="E243" s="25" t="inlineStr">
        <is>
          <t>Notebook Set</t>
        </is>
      </c>
      <c r="F243" s="25" t="n">
        <v>1</v>
      </c>
      <c r="G243" s="25" t="n">
        <v>450</v>
      </c>
      <c r="H243" s="28" t="n">
        <v>0.2</v>
      </c>
      <c r="I243" s="25" t="n">
        <v>190</v>
      </c>
    </row>
    <row r="244">
      <c r="A244" s="25" t="inlineStr">
        <is>
          <t>ORD-10802</t>
        </is>
      </c>
      <c r="B244" s="25" t="inlineStr">
        <is>
          <t>13-Apr-2025</t>
        </is>
      </c>
      <c r="C244" s="25" t="inlineStr">
        <is>
          <t>West</t>
        </is>
      </c>
      <c r="D244" s="25" t="inlineStr">
        <is>
          <t>Technology</t>
        </is>
      </c>
      <c r="E244" s="25" t="inlineStr">
        <is>
          <t>Monitor 24"</t>
        </is>
      </c>
      <c r="F244" s="25" t="n">
        <v>1</v>
      </c>
      <c r="G244" s="25" t="n">
        <v>11500</v>
      </c>
      <c r="H244" s="28" t="n">
        <v>0</v>
      </c>
      <c r="I244" s="25" t="n">
        <v>8200</v>
      </c>
    </row>
    <row r="245">
      <c r="A245" s="25" t="inlineStr">
        <is>
          <t>ORD-10504</t>
        </is>
      </c>
      <c r="B245" s="26" t="n">
        <v>45937</v>
      </c>
      <c r="C245" s="25" t="inlineStr">
        <is>
          <t>North</t>
        </is>
      </c>
      <c r="D245" s="25" t="inlineStr">
        <is>
          <t>Accessories</t>
        </is>
      </c>
      <c r="E245" s="25" t="inlineStr">
        <is>
          <t>USB-C Hub</t>
        </is>
      </c>
      <c r="F245" s="25" t="n">
        <v>4</v>
      </c>
      <c r="G245" s="25" t="n">
        <v>1800</v>
      </c>
      <c r="H245" s="28" t="n">
        <v>0</v>
      </c>
      <c r="I245" s="25" t="n">
        <v>980</v>
      </c>
    </row>
    <row r="246">
      <c r="A246" s="25" t="inlineStr">
        <is>
          <t>ORD-10137</t>
        </is>
      </c>
      <c r="B246" s="26" t="n">
        <v>45976</v>
      </c>
      <c r="C246" s="25" t="inlineStr">
        <is>
          <t>North</t>
        </is>
      </c>
      <c r="D246" s="25" t="inlineStr">
        <is>
          <t>Accessories</t>
        </is>
      </c>
      <c r="E246" s="25" t="inlineStr">
        <is>
          <t>Webcam</t>
        </is>
      </c>
      <c r="F246" s="25" t="n">
        <v>2</v>
      </c>
      <c r="G246" s="25" t="n">
        <v>3200</v>
      </c>
      <c r="H246" s="28" t="n">
        <v>0</v>
      </c>
      <c r="I246" s="25" t="n">
        <v>1900</v>
      </c>
    </row>
    <row r="247">
      <c r="A247" s="25" t="inlineStr">
        <is>
          <t>ORD-10646</t>
        </is>
      </c>
      <c r="B247" s="26" t="n">
        <v>45836</v>
      </c>
      <c r="C247" s="25" t="inlineStr">
        <is>
          <t>South</t>
        </is>
      </c>
      <c r="D247" s="25" t="inlineStr">
        <is>
          <t>Furniture</t>
        </is>
      </c>
      <c r="E247" s="25" t="inlineStr">
        <is>
          <t>Bookshelf</t>
        </is>
      </c>
      <c r="F247" s="25" t="n">
        <v>2</v>
      </c>
      <c r="G247" s="25" t="n">
        <v>6200</v>
      </c>
      <c r="H247" s="28" t="n">
        <v>0.1</v>
      </c>
      <c r="I247" s="25" t="n">
        <v>4100</v>
      </c>
    </row>
    <row r="248">
      <c r="A248" s="25" t="inlineStr">
        <is>
          <t>ORD-10798</t>
        </is>
      </c>
      <c r="B248" s="26" t="n">
        <v>45949</v>
      </c>
      <c r="C248" s="25" t="inlineStr">
        <is>
          <t>North</t>
        </is>
      </c>
      <c r="D248" s="25" t="inlineStr">
        <is>
          <t>Office Supplies</t>
        </is>
      </c>
      <c r="E248" s="25" t="inlineStr">
        <is>
          <t>Printer Paper Box</t>
        </is>
      </c>
      <c r="F248" s="25" t="n">
        <v>2</v>
      </c>
      <c r="G248" s="25" t="n">
        <v>1600</v>
      </c>
      <c r="H248" s="28" t="n">
        <v>0.1</v>
      </c>
      <c r="I248" s="25" t="n">
        <v>1050</v>
      </c>
    </row>
    <row r="249">
      <c r="A249" s="25" t="inlineStr">
        <is>
          <t>ORD-10852</t>
        </is>
      </c>
      <c r="B249" s="25" t="inlineStr">
        <is>
          <t>01-May-2025</t>
        </is>
      </c>
      <c r="C249" s="25" t="inlineStr">
        <is>
          <t>North</t>
        </is>
      </c>
      <c r="D249" s="25" t="inlineStr">
        <is>
          <t>Office Supplies</t>
        </is>
      </c>
      <c r="E249" s="25" t="inlineStr">
        <is>
          <t>Notebook Set</t>
        </is>
      </c>
      <c r="F249" s="25" t="n">
        <v>6</v>
      </c>
      <c r="G249" s="25" t="n">
        <v>450</v>
      </c>
      <c r="H249" s="28" t="n">
        <v>0</v>
      </c>
      <c r="I249" s="25" t="n">
        <v>190</v>
      </c>
    </row>
    <row r="250">
      <c r="A250" s="25" t="inlineStr">
        <is>
          <t>ORD-10545</t>
        </is>
      </c>
      <c r="B250" s="26" t="n">
        <v>46010</v>
      </c>
      <c r="C250" s="25" t="inlineStr">
        <is>
          <t>West</t>
        </is>
      </c>
      <c r="D250" s="25" t="inlineStr">
        <is>
          <t>Technology</t>
        </is>
      </c>
      <c r="E250" s="25" t="inlineStr">
        <is>
          <t>Wireless Mouse</t>
        </is>
      </c>
      <c r="F250" s="25" t="n">
        <v>5</v>
      </c>
      <c r="G250" s="25" t="n">
        <v>1200</v>
      </c>
      <c r="H250" s="28" t="n">
        <v>0</v>
      </c>
      <c r="I250" s="25" t="n">
        <v>650</v>
      </c>
    </row>
    <row r="251">
      <c r="A251" s="25" t="inlineStr">
        <is>
          <t>ORD-10233</t>
        </is>
      </c>
      <c r="B251" s="26" t="n">
        <v>45996</v>
      </c>
      <c r="C251" s="25" t="inlineStr">
        <is>
          <t>West</t>
        </is>
      </c>
      <c r="D251" s="25" t="inlineStr">
        <is>
          <t>Technology</t>
        </is>
      </c>
      <c r="E251" s="25" t="inlineStr">
        <is>
          <t>Monitor 24"</t>
        </is>
      </c>
      <c r="F251" s="25" t="n">
        <v>2</v>
      </c>
      <c r="G251" s="25" t="n">
        <v>11500</v>
      </c>
      <c r="H251" s="28" t="n">
        <v>0</v>
      </c>
      <c r="I251" s="25" t="n">
        <v>8200</v>
      </c>
    </row>
    <row r="252">
      <c r="A252" s="25" t="inlineStr">
        <is>
          <t>ORD-10667</t>
        </is>
      </c>
      <c r="B252" s="26" t="n">
        <v>45756</v>
      </c>
      <c r="C252" s="25" t="inlineStr">
        <is>
          <t>South</t>
        </is>
      </c>
      <c r="D252" s="25" t="inlineStr">
        <is>
          <t>Accessories</t>
        </is>
      </c>
      <c r="E252" s="25" t="inlineStr">
        <is>
          <t>Headphones</t>
        </is>
      </c>
      <c r="F252" s="25" t="n">
        <v>2</v>
      </c>
      <c r="G252" s="25" t="n">
        <v>4500</v>
      </c>
      <c r="H252" s="28" t="n">
        <v>0.05</v>
      </c>
      <c r="I252" s="25" t="n">
        <v>2600</v>
      </c>
    </row>
    <row r="253">
      <c r="A253" s="25" t="inlineStr">
        <is>
          <t>ORD-10974</t>
        </is>
      </c>
      <c r="B253" s="26" t="n">
        <v>45863</v>
      </c>
      <c r="C253" s="25" t="inlineStr">
        <is>
          <t>South</t>
        </is>
      </c>
      <c r="D253" s="25" t="inlineStr">
        <is>
          <t>Technology</t>
        </is>
      </c>
      <c r="E253" s="25" t="inlineStr">
        <is>
          <t>Wireless Mouse</t>
        </is>
      </c>
      <c r="F253" s="25" t="n">
        <v>2</v>
      </c>
      <c r="G253" s="25" t="n">
        <v>1200</v>
      </c>
      <c r="H253" s="28" t="n">
        <v>0</v>
      </c>
      <c r="I253" s="25" t="n">
        <v>650</v>
      </c>
    </row>
    <row r="254">
      <c r="A254" s="25" t="inlineStr">
        <is>
          <t>ORD-10584</t>
        </is>
      </c>
      <c r="B254" s="26" t="n">
        <v>45969</v>
      </c>
      <c r="C254" s="25" t="inlineStr">
        <is>
          <t>North</t>
        </is>
      </c>
      <c r="D254" s="25" t="inlineStr">
        <is>
          <t>Office Supplies</t>
        </is>
      </c>
      <c r="E254" s="25" t="inlineStr">
        <is>
          <t>Notebook Set</t>
        </is>
      </c>
      <c r="F254" s="25" t="n">
        <v>8</v>
      </c>
      <c r="G254" s="25" t="n">
        <v>450</v>
      </c>
      <c r="H254" s="28" t="n">
        <v>0.1</v>
      </c>
      <c r="I254" s="25" t="n">
        <v>190</v>
      </c>
    </row>
    <row r="255">
      <c r="A255" s="25" t="inlineStr">
        <is>
          <t>ORD-10525</t>
        </is>
      </c>
      <c r="B255" s="26" t="n">
        <v>45984</v>
      </c>
      <c r="C255" s="25" t="inlineStr">
        <is>
          <t xml:space="preserve">South </t>
        </is>
      </c>
      <c r="D255" s="25" t="inlineStr">
        <is>
          <t>Furniture</t>
        </is>
      </c>
      <c r="E255" s="25" t="inlineStr">
        <is>
          <t>Office Chair</t>
        </is>
      </c>
      <c r="F255" s="25" t="n">
        <v>2</v>
      </c>
      <c r="G255" s="25" t="n">
        <v>8500</v>
      </c>
      <c r="H255" s="28" t="n">
        <v>0.1</v>
      </c>
      <c r="I255" s="25" t="n">
        <v>5600</v>
      </c>
    </row>
    <row r="256">
      <c r="A256" s="25" t="inlineStr">
        <is>
          <t>ORD-10240</t>
        </is>
      </c>
      <c r="B256" s="25" t="inlineStr">
        <is>
          <t>11-Dec-2025</t>
        </is>
      </c>
      <c r="C256" s="25" t="inlineStr">
        <is>
          <t xml:space="preserve"> East</t>
        </is>
      </c>
      <c r="D256" s="25" t="inlineStr">
        <is>
          <t>Office Supplies</t>
        </is>
      </c>
      <c r="E256" s="25" t="inlineStr">
        <is>
          <t>Notebook Set</t>
        </is>
      </c>
      <c r="F256" s="25" t="n">
        <v>4</v>
      </c>
      <c r="G256" s="25" t="n">
        <v>450</v>
      </c>
      <c r="H256" s="28" t="n">
        <v>0</v>
      </c>
      <c r="I256" s="25" t="n">
        <v>190</v>
      </c>
    </row>
    <row r="257">
      <c r="A257" s="25" t="inlineStr">
        <is>
          <t>ORD-11097</t>
        </is>
      </c>
      <c r="B257" s="26" t="n">
        <v>45944</v>
      </c>
      <c r="C257" s="25" t="inlineStr">
        <is>
          <t>South</t>
        </is>
      </c>
      <c r="D257" s="25" t="inlineStr">
        <is>
          <t>Office Supplies</t>
        </is>
      </c>
      <c r="E257" s="25" t="inlineStr">
        <is>
          <t>Printer Paper Box</t>
        </is>
      </c>
      <c r="F257" s="25" t="n">
        <v>1</v>
      </c>
      <c r="G257" s="25" t="n">
        <v>1600</v>
      </c>
      <c r="H257" s="28" t="n">
        <v>0</v>
      </c>
      <c r="I257" s="25" t="n">
        <v>1050</v>
      </c>
    </row>
    <row r="258">
      <c r="A258" s="25" t="inlineStr">
        <is>
          <t>ORD-10164</t>
        </is>
      </c>
      <c r="B258" s="26" t="n">
        <v>45873</v>
      </c>
      <c r="C258" s="25" t="inlineStr">
        <is>
          <t>East</t>
        </is>
      </c>
      <c r="D258" s="25" t="inlineStr">
        <is>
          <t>Office Supplies</t>
        </is>
      </c>
      <c r="E258" s="25" t="inlineStr">
        <is>
          <t>Printer Paper Box</t>
        </is>
      </c>
      <c r="F258" s="25" t="n">
        <v>4</v>
      </c>
      <c r="G258" s="25" t="n">
        <v>1600</v>
      </c>
      <c r="H258" s="28" t="n">
        <v>0.1</v>
      </c>
      <c r="I258" s="25" t="n">
        <v>1050</v>
      </c>
    </row>
    <row r="259">
      <c r="A259" s="25" t="inlineStr">
        <is>
          <t>ORD-10823</t>
        </is>
      </c>
      <c r="B259" s="25" t="inlineStr">
        <is>
          <t>11-Feb-2025</t>
        </is>
      </c>
      <c r="C259" s="25" t="inlineStr">
        <is>
          <t>South</t>
        </is>
      </c>
      <c r="D259" s="25" t="inlineStr">
        <is>
          <t>Office Supplies</t>
        </is>
      </c>
      <c r="E259" s="25" t="inlineStr">
        <is>
          <t>Desk Organizer</t>
        </is>
      </c>
      <c r="F259" s="25" t="n">
        <v>4</v>
      </c>
      <c r="G259" s="25" t="n"/>
      <c r="H259" s="28" t="n">
        <v>0.1</v>
      </c>
      <c r="I259" s="25" t="n">
        <v>420</v>
      </c>
    </row>
    <row r="260">
      <c r="A260" s="25" t="inlineStr">
        <is>
          <t>ORD-10634</t>
        </is>
      </c>
      <c r="B260" s="26" t="n">
        <v>45821</v>
      </c>
      <c r="C260" s="25" t="inlineStr">
        <is>
          <t>West</t>
        </is>
      </c>
      <c r="D260" s="25" t="inlineStr">
        <is>
          <t>Office Supplies</t>
        </is>
      </c>
      <c r="E260" s="25" t="inlineStr">
        <is>
          <t>Notebook Set</t>
        </is>
      </c>
      <c r="F260" s="25" t="n">
        <v>8</v>
      </c>
      <c r="G260" s="25" t="n">
        <v>450</v>
      </c>
      <c r="H260" s="28" t="n">
        <v>0</v>
      </c>
      <c r="I260" s="25" t="n">
        <v>190</v>
      </c>
    </row>
    <row r="261">
      <c r="A261" s="25" t="inlineStr">
        <is>
          <t>ORD-10722</t>
        </is>
      </c>
      <c r="B261" s="26" t="n">
        <v>45938</v>
      </c>
      <c r="C261" s="25" t="inlineStr">
        <is>
          <t>South</t>
        </is>
      </c>
      <c r="D261" s="25" t="inlineStr">
        <is>
          <t>Office Supplies</t>
        </is>
      </c>
      <c r="E261" s="25" t="inlineStr">
        <is>
          <t>Notebook Set</t>
        </is>
      </c>
      <c r="F261" s="25" t="n">
        <v>5</v>
      </c>
      <c r="G261" s="25" t="n">
        <v>450</v>
      </c>
      <c r="H261" s="28" t="n">
        <v>0</v>
      </c>
      <c r="I261" s="25" t="n">
        <v>190</v>
      </c>
    </row>
    <row r="262">
      <c r="A262" s="25" t="inlineStr">
        <is>
          <t>ORD-10213</t>
        </is>
      </c>
      <c r="B262" s="26" t="n">
        <v>45679</v>
      </c>
      <c r="C262" s="25" t="inlineStr">
        <is>
          <t>West</t>
        </is>
      </c>
      <c r="D262" s="25" t="inlineStr">
        <is>
          <t>Office Supplies</t>
        </is>
      </c>
      <c r="E262" s="25" t="inlineStr">
        <is>
          <t>Printer Paper Box</t>
        </is>
      </c>
      <c r="F262" s="25" t="n">
        <v>5</v>
      </c>
      <c r="G262" s="25" t="n">
        <v>1600</v>
      </c>
      <c r="H262" s="28" t="n">
        <v>0</v>
      </c>
      <c r="I262" s="25" t="n">
        <v>1050</v>
      </c>
    </row>
    <row r="263">
      <c r="A263" s="25" t="inlineStr">
        <is>
          <t>ORD-10118</t>
        </is>
      </c>
      <c r="B263" s="26" t="n">
        <v>45769</v>
      </c>
      <c r="C263" s="25" t="inlineStr">
        <is>
          <t>North</t>
        </is>
      </c>
      <c r="D263" s="25" t="inlineStr">
        <is>
          <t>Office Supplies</t>
        </is>
      </c>
      <c r="E263" s="25" t="inlineStr">
        <is>
          <t>Desk Organizer</t>
        </is>
      </c>
      <c r="F263" s="25" t="n">
        <v>5</v>
      </c>
      <c r="G263" s="25" t="n">
        <v>850</v>
      </c>
      <c r="H263" s="28" t="n">
        <v>0.1</v>
      </c>
      <c r="I263" s="25" t="n">
        <v>420</v>
      </c>
    </row>
    <row r="264">
      <c r="A264" s="25" t="inlineStr">
        <is>
          <t>ORD-10596</t>
        </is>
      </c>
      <c r="B264" s="26" t="n">
        <v>45700</v>
      </c>
      <c r="C264" s="25" t="inlineStr">
        <is>
          <t>West</t>
        </is>
      </c>
      <c r="D264" s="25" t="inlineStr">
        <is>
          <t>Office Supplies</t>
        </is>
      </c>
      <c r="E264" s="25" t="inlineStr">
        <is>
          <t>Printer Paper Box</t>
        </is>
      </c>
      <c r="F264" s="25" t="n">
        <v>6</v>
      </c>
      <c r="G264" s="25" t="n">
        <v>1600</v>
      </c>
      <c r="H264" s="28" t="n">
        <v>0.15</v>
      </c>
      <c r="I264" s="25" t="n">
        <v>1050</v>
      </c>
    </row>
    <row r="265">
      <c r="A265" s="25" t="inlineStr">
        <is>
          <t>ORD-11059</t>
        </is>
      </c>
      <c r="B265" s="26" t="n">
        <v>45861</v>
      </c>
      <c r="C265" s="25" t="inlineStr">
        <is>
          <t>East</t>
        </is>
      </c>
      <c r="D265" s="25" t="inlineStr">
        <is>
          <t>Office Supplies</t>
        </is>
      </c>
      <c r="E265" s="25" t="inlineStr">
        <is>
          <t>Printer Paper Box</t>
        </is>
      </c>
      <c r="F265" s="25" t="n">
        <v>6</v>
      </c>
      <c r="G265" s="25" t="n">
        <v>1600</v>
      </c>
      <c r="H265" s="28" t="n">
        <v>0.1</v>
      </c>
      <c r="I265" s="25" t="n">
        <v>1050</v>
      </c>
    </row>
    <row r="266">
      <c r="A266" s="25" t="inlineStr">
        <is>
          <t>ORD-10847</t>
        </is>
      </c>
      <c r="B266" s="26" t="n">
        <v>45817</v>
      </c>
      <c r="C266" s="25" t="inlineStr">
        <is>
          <t>South</t>
        </is>
      </c>
      <c r="D266" s="25" t="inlineStr">
        <is>
          <t>Technology</t>
        </is>
      </c>
      <c r="E266" s="25" t="inlineStr">
        <is>
          <t>Wireless Mouse</t>
        </is>
      </c>
      <c r="F266" s="25" t="n">
        <v>4</v>
      </c>
      <c r="G266" s="25" t="n">
        <v>1200</v>
      </c>
      <c r="H266" s="28" t="n">
        <v>0</v>
      </c>
      <c r="I266" s="25" t="n">
        <v>650</v>
      </c>
    </row>
    <row r="267">
      <c r="A267" s="25" t="inlineStr">
        <is>
          <t>ORD-11142</t>
        </is>
      </c>
      <c r="B267" s="26" t="n">
        <v>45857</v>
      </c>
      <c r="C267" s="25" t="inlineStr">
        <is>
          <t>West</t>
        </is>
      </c>
      <c r="D267" s="25" t="inlineStr">
        <is>
          <t>Furniture</t>
        </is>
      </c>
      <c r="E267" s="25" t="inlineStr">
        <is>
          <t>Office Chair</t>
        </is>
      </c>
      <c r="F267" s="25" t="n">
        <v>1</v>
      </c>
      <c r="G267" s="25" t="n">
        <v>8500</v>
      </c>
      <c r="H267" s="28" t="n">
        <v>0.2</v>
      </c>
      <c r="I267" s="25" t="n">
        <v>5600</v>
      </c>
    </row>
    <row r="268">
      <c r="A268" s="25" t="inlineStr">
        <is>
          <t>ORD-10660</t>
        </is>
      </c>
      <c r="B268" s="25" t="inlineStr">
        <is>
          <t>15-Feb-2025</t>
        </is>
      </c>
      <c r="C268" s="25" t="inlineStr">
        <is>
          <t>North</t>
        </is>
      </c>
      <c r="D268" s="25" t="inlineStr">
        <is>
          <t>Furniture</t>
        </is>
      </c>
      <c r="E268" s="25" t="inlineStr">
        <is>
          <t>Standing Desk</t>
        </is>
      </c>
      <c r="F268" s="25" t="n">
        <v>2</v>
      </c>
      <c r="G268" s="25" t="n">
        <v>19500</v>
      </c>
      <c r="H268" s="28" t="n">
        <v>0</v>
      </c>
      <c r="I268" s="25" t="n">
        <v>13800</v>
      </c>
    </row>
    <row r="269">
      <c r="A269" s="25" t="inlineStr">
        <is>
          <t>ORD-10395</t>
        </is>
      </c>
      <c r="B269" s="26" t="n">
        <v>45846</v>
      </c>
      <c r="C269" s="25" t="inlineStr">
        <is>
          <t>West</t>
        </is>
      </c>
      <c r="D269" s="25" t="inlineStr">
        <is>
          <t>Accessories</t>
        </is>
      </c>
      <c r="E269" s="25" t="inlineStr">
        <is>
          <t>Headphones</t>
        </is>
      </c>
      <c r="F269" s="25" t="n">
        <v>2</v>
      </c>
      <c r="G269" s="25" t="n">
        <v>4500</v>
      </c>
      <c r="H269" s="28" t="n">
        <v>0.05</v>
      </c>
      <c r="I269" s="25" t="n">
        <v>2600</v>
      </c>
    </row>
    <row r="270">
      <c r="A270" s="25" t="inlineStr">
        <is>
          <t>ORD-10969</t>
        </is>
      </c>
      <c r="B270" s="25" t="inlineStr">
        <is>
          <t>28-May-2025</t>
        </is>
      </c>
      <c r="C270" s="25" t="inlineStr">
        <is>
          <t>West</t>
        </is>
      </c>
      <c r="D270" s="25" t="inlineStr">
        <is>
          <t>Accessories</t>
        </is>
      </c>
      <c r="E270" s="25" t="inlineStr">
        <is>
          <t>USB-C Hub</t>
        </is>
      </c>
      <c r="F270" s="25" t="n">
        <v>2</v>
      </c>
      <c r="G270" s="25" t="n">
        <v>1800</v>
      </c>
      <c r="H270" s="28" t="n">
        <v>0</v>
      </c>
      <c r="I270" s="25" t="n">
        <v>980</v>
      </c>
    </row>
    <row r="271">
      <c r="A271" s="25" t="inlineStr">
        <is>
          <t>ORD-10461</t>
        </is>
      </c>
      <c r="B271" s="26" t="n">
        <v>45987</v>
      </c>
      <c r="C271" s="25" t="inlineStr">
        <is>
          <t>WEST</t>
        </is>
      </c>
      <c r="D271" s="25" t="inlineStr">
        <is>
          <t>Office Supplies</t>
        </is>
      </c>
      <c r="E271" s="25" t="inlineStr">
        <is>
          <t>Notebook Set</t>
        </is>
      </c>
      <c r="F271" s="25" t="n">
        <v>3</v>
      </c>
      <c r="G271" s="25" t="n">
        <v>450</v>
      </c>
      <c r="H271" s="28" t="n">
        <v>0</v>
      </c>
      <c r="I271" s="25" t="n">
        <v>190</v>
      </c>
    </row>
    <row r="272">
      <c r="A272" s="25" t="inlineStr">
        <is>
          <t>ORD-10832</t>
        </is>
      </c>
      <c r="B272" s="25" t="inlineStr">
        <is>
          <t>12-Dec-2025</t>
        </is>
      </c>
      <c r="C272" s="25" t="inlineStr">
        <is>
          <t>East</t>
        </is>
      </c>
      <c r="D272" s="25" t="inlineStr">
        <is>
          <t>Office Supplies</t>
        </is>
      </c>
      <c r="E272" s="25" t="inlineStr">
        <is>
          <t>Notebook Set</t>
        </is>
      </c>
      <c r="F272" s="25" t="n">
        <v>7</v>
      </c>
      <c r="G272" s="25" t="n">
        <v>450</v>
      </c>
      <c r="H272" s="28" t="n">
        <v>0</v>
      </c>
      <c r="I272" s="25" t="n">
        <v>190</v>
      </c>
    </row>
    <row r="273">
      <c r="A273" s="25" t="inlineStr">
        <is>
          <t>ORD-10303</t>
        </is>
      </c>
      <c r="B273" s="26" t="n">
        <v>45742</v>
      </c>
      <c r="C273" s="25" t="inlineStr">
        <is>
          <t>West</t>
        </is>
      </c>
      <c r="D273" s="25" t="inlineStr">
        <is>
          <t>Office Supplies</t>
        </is>
      </c>
      <c r="E273" s="25" t="inlineStr">
        <is>
          <t>Notebook Set</t>
        </is>
      </c>
      <c r="F273" s="25" t="n">
        <v>1</v>
      </c>
      <c r="G273" s="25" t="n">
        <v>450</v>
      </c>
      <c r="H273" s="28" t="n">
        <v>0.05</v>
      </c>
      <c r="I273" s="25" t="n">
        <v>190</v>
      </c>
    </row>
    <row r="274">
      <c r="A274" s="25" t="inlineStr">
        <is>
          <t>ORD-10161</t>
        </is>
      </c>
      <c r="B274" s="26" t="n">
        <v>45888</v>
      </c>
      <c r="C274" s="25" t="inlineStr">
        <is>
          <t>South</t>
        </is>
      </c>
      <c r="D274" s="25" t="inlineStr">
        <is>
          <t>Office Supplies</t>
        </is>
      </c>
      <c r="E274" s="25" t="inlineStr">
        <is>
          <t>Desk Organizer</t>
        </is>
      </c>
      <c r="F274" s="25" t="n">
        <v>1</v>
      </c>
      <c r="G274" s="25" t="n">
        <v>850</v>
      </c>
      <c r="H274" s="28" t="n">
        <v>0.1</v>
      </c>
      <c r="I274" s="25" t="n">
        <v>420</v>
      </c>
    </row>
    <row r="275">
      <c r="A275" s="25" t="inlineStr">
        <is>
          <t>ORD-10558</t>
        </is>
      </c>
      <c r="B275" s="26" t="n">
        <v>45923</v>
      </c>
      <c r="C275" s="25" t="inlineStr">
        <is>
          <t>East</t>
        </is>
      </c>
      <c r="D275" s="25" t="inlineStr">
        <is>
          <t>Office Supplies</t>
        </is>
      </c>
      <c r="E275" s="25" t="inlineStr">
        <is>
          <t>Printer Paper Box</t>
        </is>
      </c>
      <c r="F275" s="25" t="n">
        <v>2</v>
      </c>
      <c r="G275" s="25" t="n">
        <v>1600</v>
      </c>
      <c r="H275" s="28" t="n">
        <v>0</v>
      </c>
      <c r="I275" s="25" t="n">
        <v>1050</v>
      </c>
    </row>
    <row r="276">
      <c r="A276" s="25" t="inlineStr">
        <is>
          <t>ORD-10523</t>
        </is>
      </c>
      <c r="B276" s="26" t="n">
        <v>45998</v>
      </c>
      <c r="C276" s="25" t="inlineStr">
        <is>
          <t>East</t>
        </is>
      </c>
      <c r="D276" s="25" t="inlineStr">
        <is>
          <t>Office Supplies</t>
        </is>
      </c>
      <c r="E276" s="25" t="inlineStr">
        <is>
          <t>Printer Paper Box</t>
        </is>
      </c>
      <c r="F276" s="25" t="n">
        <v>2</v>
      </c>
      <c r="G276" s="25" t="n">
        <v>1600</v>
      </c>
      <c r="H276" s="28" t="n">
        <v>0.05</v>
      </c>
      <c r="I276" s="25" t="n">
        <v>1050</v>
      </c>
    </row>
    <row r="277">
      <c r="A277" s="25" t="inlineStr">
        <is>
          <t>ORD-11161</t>
        </is>
      </c>
      <c r="B277" s="26" t="n">
        <v>45997</v>
      </c>
      <c r="C277" s="25" t="inlineStr">
        <is>
          <t>East</t>
        </is>
      </c>
      <c r="D277" s="25" t="inlineStr">
        <is>
          <t>Office Supplies</t>
        </is>
      </c>
      <c r="E277" s="25" t="inlineStr">
        <is>
          <t>Desk Organizer</t>
        </is>
      </c>
      <c r="F277" s="25" t="n">
        <v>5</v>
      </c>
      <c r="G277" s="25" t="n">
        <v>850</v>
      </c>
      <c r="H277" s="28" t="n">
        <v>0.15</v>
      </c>
      <c r="I277" s="25" t="n">
        <v>420</v>
      </c>
    </row>
    <row r="278">
      <c r="A278" s="25" t="inlineStr">
        <is>
          <t>ORD-10853</t>
        </is>
      </c>
      <c r="B278" s="26" t="n">
        <v>45864</v>
      </c>
      <c r="C278" s="25" t="inlineStr">
        <is>
          <t>WEST</t>
        </is>
      </c>
      <c r="D278" s="25" t="inlineStr">
        <is>
          <t>Furniture</t>
        </is>
      </c>
      <c r="E278" s="25" t="inlineStr">
        <is>
          <t>Bookshelf</t>
        </is>
      </c>
      <c r="F278" s="25" t="n">
        <v>2</v>
      </c>
      <c r="G278" s="25" t="n"/>
      <c r="H278" s="28" t="n">
        <v>0</v>
      </c>
      <c r="I278" s="25" t="n">
        <v>4100</v>
      </c>
    </row>
    <row r="279">
      <c r="A279" s="25" t="inlineStr">
        <is>
          <t>ORD-10114</t>
        </is>
      </c>
      <c r="B279" s="26" t="n">
        <v>46018</v>
      </c>
      <c r="C279" s="25" t="inlineStr">
        <is>
          <t>South</t>
        </is>
      </c>
      <c r="D279" s="25" t="inlineStr">
        <is>
          <t>Technology</t>
        </is>
      </c>
      <c r="E279" s="25" t="inlineStr">
        <is>
          <t>Monitor 24"</t>
        </is>
      </c>
      <c r="F279" s="25" t="n">
        <v>1</v>
      </c>
      <c r="G279" s="25" t="n">
        <v>11500</v>
      </c>
      <c r="H279" s="28" t="n">
        <v>0.05</v>
      </c>
      <c r="I279" s="25" t="n">
        <v>8200</v>
      </c>
    </row>
    <row r="280">
      <c r="A280" s="25" t="inlineStr">
        <is>
          <t>ORD-10898</t>
        </is>
      </c>
      <c r="B280" s="25" t="inlineStr">
        <is>
          <t>03-Jan-2025</t>
        </is>
      </c>
      <c r="C280" s="25" t="inlineStr">
        <is>
          <t>South</t>
        </is>
      </c>
      <c r="D280" s="25" t="inlineStr">
        <is>
          <t>Furniture</t>
        </is>
      </c>
      <c r="E280" s="25" t="inlineStr">
        <is>
          <t>Standing Desk</t>
        </is>
      </c>
      <c r="F280" s="25" t="n">
        <v>2</v>
      </c>
      <c r="G280" s="25" t="n">
        <v>19500</v>
      </c>
      <c r="H280" s="28" t="n">
        <v>0</v>
      </c>
      <c r="I280" s="25" t="n">
        <v>13800</v>
      </c>
    </row>
    <row r="281">
      <c r="A281" s="25" t="inlineStr">
        <is>
          <t>ORD-10012</t>
        </is>
      </c>
      <c r="B281" s="26" t="n">
        <v>45790</v>
      </c>
      <c r="C281" s="25" t="inlineStr">
        <is>
          <t>West</t>
        </is>
      </c>
      <c r="D281" s="25" t="inlineStr">
        <is>
          <t>Technology</t>
        </is>
      </c>
      <c r="E281" s="25" t="inlineStr">
        <is>
          <t>Monitor 24"</t>
        </is>
      </c>
      <c r="F281" s="25" t="n">
        <v>1</v>
      </c>
      <c r="G281" s="25" t="n">
        <v>11500</v>
      </c>
      <c r="H281" s="28" t="n">
        <v>0.05</v>
      </c>
      <c r="I281" s="25" t="n">
        <v>8200</v>
      </c>
    </row>
    <row r="282">
      <c r="A282" s="25" t="inlineStr">
        <is>
          <t>ORD-10871</t>
        </is>
      </c>
      <c r="B282" s="26" t="n">
        <v>45979</v>
      </c>
      <c r="C282" s="25" t="inlineStr">
        <is>
          <t>North</t>
        </is>
      </c>
      <c r="D282" s="25" t="inlineStr">
        <is>
          <t>Office Supplies</t>
        </is>
      </c>
      <c r="E282" s="25" t="inlineStr">
        <is>
          <t>Desk Organizer</t>
        </is>
      </c>
      <c r="F282" s="25" t="n">
        <v>5</v>
      </c>
      <c r="G282" s="25" t="n">
        <v>850</v>
      </c>
      <c r="H282" s="28" t="n">
        <v>0.1</v>
      </c>
      <c r="I282" s="25" t="n">
        <v>420</v>
      </c>
    </row>
    <row r="283">
      <c r="A283" s="25" t="inlineStr">
        <is>
          <t>ORD-10987</t>
        </is>
      </c>
      <c r="B283" s="26" t="n">
        <v>45785</v>
      </c>
      <c r="C283" s="25" t="inlineStr">
        <is>
          <t>West</t>
        </is>
      </c>
      <c r="D283" s="25" t="inlineStr">
        <is>
          <t>Office Supplies</t>
        </is>
      </c>
      <c r="E283" s="25" t="inlineStr">
        <is>
          <t>Notebook Set</t>
        </is>
      </c>
      <c r="F283" s="25" t="n">
        <v>3</v>
      </c>
      <c r="G283" s="25" t="n">
        <v>450</v>
      </c>
      <c r="H283" s="28" t="n">
        <v>0</v>
      </c>
      <c r="I283" s="25" t="n">
        <v>190</v>
      </c>
    </row>
    <row r="284">
      <c r="A284" s="25" t="inlineStr">
        <is>
          <t>ORD-10920</t>
        </is>
      </c>
      <c r="B284" s="26" t="n">
        <v>46003</v>
      </c>
      <c r="C284" s="25" t="inlineStr">
        <is>
          <t>South</t>
        </is>
      </c>
      <c r="D284" s="25" t="inlineStr">
        <is>
          <t>Technology</t>
        </is>
      </c>
      <c r="E284" s="25" t="inlineStr">
        <is>
          <t>Wireless Mouse</t>
        </is>
      </c>
      <c r="F284" s="25" t="n">
        <v>4</v>
      </c>
      <c r="G284" s="25" t="n">
        <v>1200</v>
      </c>
      <c r="H284" s="28" t="n">
        <v>0.05</v>
      </c>
      <c r="I284" s="25" t="n">
        <v>650</v>
      </c>
    </row>
    <row r="285">
      <c r="A285" s="25" t="inlineStr">
        <is>
          <t>ORD-10202</t>
        </is>
      </c>
      <c r="B285" s="25" t="inlineStr">
        <is>
          <t>15-Aug-2025</t>
        </is>
      </c>
      <c r="C285" s="25" t="inlineStr">
        <is>
          <t>North</t>
        </is>
      </c>
      <c r="D285" s="25" t="inlineStr">
        <is>
          <t>Accessories</t>
        </is>
      </c>
      <c r="E285" s="25" t="inlineStr">
        <is>
          <t>USB-C Hub</t>
        </is>
      </c>
      <c r="F285" s="25" t="n">
        <v>4</v>
      </c>
      <c r="G285" s="25" t="n">
        <v>1800</v>
      </c>
      <c r="H285" s="28" t="n">
        <v>0.05</v>
      </c>
      <c r="I285" s="25" t="n">
        <v>980</v>
      </c>
    </row>
    <row r="286">
      <c r="A286" s="25" t="inlineStr">
        <is>
          <t>ORD-10895</t>
        </is>
      </c>
      <c r="B286" s="26" t="n">
        <v>45700</v>
      </c>
      <c r="C286" s="25" t="inlineStr">
        <is>
          <t>North</t>
        </is>
      </c>
      <c r="D286" s="25" t="inlineStr">
        <is>
          <t>Office Supplies</t>
        </is>
      </c>
      <c r="E286" s="25" t="inlineStr">
        <is>
          <t>Notebook Set</t>
        </is>
      </c>
      <c r="F286" s="25" t="n">
        <v>1</v>
      </c>
      <c r="G286" s="25" t="n">
        <v>450</v>
      </c>
      <c r="H286" s="28" t="n">
        <v>0.15</v>
      </c>
      <c r="I286" s="25" t="n">
        <v>190</v>
      </c>
    </row>
    <row r="287">
      <c r="A287" s="25" t="inlineStr">
        <is>
          <t>ORD-10079</t>
        </is>
      </c>
      <c r="B287" s="25" t="inlineStr">
        <is>
          <t>26-Oct-2025</t>
        </is>
      </c>
      <c r="C287" s="25" t="inlineStr">
        <is>
          <t>West</t>
        </is>
      </c>
      <c r="D287" s="25" t="inlineStr">
        <is>
          <t>Accessories</t>
        </is>
      </c>
      <c r="E287" s="25" t="inlineStr">
        <is>
          <t>USB-C Hub</t>
        </is>
      </c>
      <c r="F287" s="25" t="n">
        <v>1</v>
      </c>
      <c r="G287" s="25" t="n">
        <v>1800</v>
      </c>
      <c r="H287" s="28" t="n">
        <v>0.05</v>
      </c>
      <c r="I287" s="25" t="n">
        <v>980</v>
      </c>
    </row>
    <row r="288">
      <c r="A288" s="25" t="inlineStr">
        <is>
          <t>ORD-10715</t>
        </is>
      </c>
      <c r="B288" s="26" t="n">
        <v>45923</v>
      </c>
      <c r="C288" s="25" t="inlineStr">
        <is>
          <t>East</t>
        </is>
      </c>
      <c r="D288" s="25" t="inlineStr">
        <is>
          <t>Accessories</t>
        </is>
      </c>
      <c r="E288" s="25" t="inlineStr">
        <is>
          <t>Webcam</t>
        </is>
      </c>
      <c r="F288" s="25" t="n">
        <v>3</v>
      </c>
      <c r="G288" s="25" t="n">
        <v>3200</v>
      </c>
      <c r="H288" s="28" t="n">
        <v>0</v>
      </c>
      <c r="I288" s="25" t="n">
        <v>1900</v>
      </c>
    </row>
    <row r="289">
      <c r="A289" s="25" t="inlineStr">
        <is>
          <t>ORD-10989</t>
        </is>
      </c>
      <c r="B289" s="26" t="n">
        <v>45770</v>
      </c>
      <c r="C289" s="25" t="inlineStr">
        <is>
          <t>West</t>
        </is>
      </c>
      <c r="D289" s="25" t="inlineStr">
        <is>
          <t>Office Supplies</t>
        </is>
      </c>
      <c r="E289" s="25" t="inlineStr">
        <is>
          <t>Notebook Set</t>
        </is>
      </c>
      <c r="F289" s="25" t="n">
        <v>1</v>
      </c>
      <c r="G289" s="25" t="n">
        <v>450</v>
      </c>
      <c r="H289" s="28" t="n">
        <v>0.15</v>
      </c>
      <c r="I289" s="25" t="n">
        <v>190</v>
      </c>
    </row>
    <row r="290">
      <c r="A290" s="25" t="inlineStr">
        <is>
          <t>ORD-10695</t>
        </is>
      </c>
      <c r="B290" s="25" t="inlineStr">
        <is>
          <t>23-Dec-2025</t>
        </is>
      </c>
      <c r="C290" s="25" t="inlineStr">
        <is>
          <t>North</t>
        </is>
      </c>
      <c r="D290" s="25" t="inlineStr">
        <is>
          <t>Office Supplies</t>
        </is>
      </c>
      <c r="E290" s="25" t="inlineStr">
        <is>
          <t>Notebook Set</t>
        </is>
      </c>
      <c r="F290" s="25" t="n">
        <v>8</v>
      </c>
      <c r="G290" s="25" t="n">
        <v>450</v>
      </c>
      <c r="H290" s="28" t="n">
        <v>0.1</v>
      </c>
      <c r="I290" s="25" t="n">
        <v>190</v>
      </c>
    </row>
    <row r="291">
      <c r="A291" s="25" t="inlineStr">
        <is>
          <t>ORD-10337</t>
        </is>
      </c>
      <c r="B291" s="25" t="inlineStr">
        <is>
          <t>17-Feb-2025</t>
        </is>
      </c>
      <c r="C291" s="25" t="inlineStr">
        <is>
          <t>South</t>
        </is>
      </c>
      <c r="D291" s="25" t="inlineStr">
        <is>
          <t>Office Supplies</t>
        </is>
      </c>
      <c r="E291" s="25" t="inlineStr">
        <is>
          <t>Notebook Set</t>
        </is>
      </c>
      <c r="F291" s="25" t="n">
        <v>4</v>
      </c>
      <c r="G291" s="25" t="n">
        <v>450</v>
      </c>
      <c r="H291" s="28" t="n">
        <v>0.15</v>
      </c>
      <c r="I291" s="25" t="n">
        <v>190</v>
      </c>
    </row>
    <row r="292">
      <c r="A292" s="25" t="inlineStr">
        <is>
          <t>ORD-10785</t>
        </is>
      </c>
      <c r="B292" s="26" t="n">
        <v>45910</v>
      </c>
      <c r="C292" s="25" t="inlineStr">
        <is>
          <t>West</t>
        </is>
      </c>
      <c r="D292" s="25" t="inlineStr">
        <is>
          <t>Office Supplies</t>
        </is>
      </c>
      <c r="E292" s="25" t="inlineStr">
        <is>
          <t>Notebook Set</t>
        </is>
      </c>
      <c r="F292" s="25" t="n">
        <v>2</v>
      </c>
      <c r="G292" s="25" t="n">
        <v>450</v>
      </c>
      <c r="H292" s="28" t="n">
        <v>0</v>
      </c>
      <c r="I292" s="25" t="n">
        <v>190</v>
      </c>
    </row>
    <row r="293">
      <c r="A293" s="25" t="inlineStr">
        <is>
          <t>ORD-10216</t>
        </is>
      </c>
      <c r="B293" s="26" t="n">
        <v>45722</v>
      </c>
      <c r="C293" s="25" t="inlineStr">
        <is>
          <t>West</t>
        </is>
      </c>
      <c r="D293" s="25" t="inlineStr">
        <is>
          <t>Accessories</t>
        </is>
      </c>
      <c r="E293" s="25" t="inlineStr">
        <is>
          <t>USB-C Hub</t>
        </is>
      </c>
      <c r="F293" s="25" t="n">
        <v>4</v>
      </c>
      <c r="G293" s="25" t="n">
        <v>1800</v>
      </c>
      <c r="H293" s="28" t="n">
        <v>0.2</v>
      </c>
      <c r="I293" s="25" t="n">
        <v>980</v>
      </c>
    </row>
    <row r="294">
      <c r="A294" s="25" t="inlineStr">
        <is>
          <t>ORD-10795</t>
        </is>
      </c>
      <c r="B294" s="26" t="n">
        <v>45839</v>
      </c>
      <c r="C294" s="25" t="inlineStr">
        <is>
          <t>South</t>
        </is>
      </c>
      <c r="D294" s="25" t="inlineStr">
        <is>
          <t>Office Supplies</t>
        </is>
      </c>
      <c r="E294" s="25" t="inlineStr">
        <is>
          <t>Desk Organizer</t>
        </is>
      </c>
      <c r="F294" s="25" t="n">
        <v>3</v>
      </c>
      <c r="G294" s="25" t="n">
        <v>850</v>
      </c>
      <c r="H294" s="28" t="n">
        <v>0.15</v>
      </c>
      <c r="I294" s="25" t="n">
        <v>420</v>
      </c>
    </row>
    <row r="295">
      <c r="A295" s="25" t="inlineStr">
        <is>
          <t>ORD-10973</t>
        </is>
      </c>
      <c r="B295" s="26" t="n">
        <v>45963</v>
      </c>
      <c r="C295" s="25" t="inlineStr">
        <is>
          <t>South</t>
        </is>
      </c>
      <c r="D295" s="25" t="inlineStr">
        <is>
          <t>Office Supplies</t>
        </is>
      </c>
      <c r="E295" s="25" t="inlineStr">
        <is>
          <t>Notebook Set</t>
        </is>
      </c>
      <c r="F295" s="25" t="n">
        <v>1</v>
      </c>
      <c r="G295" s="25" t="n">
        <v>450</v>
      </c>
      <c r="H295" s="28" t="n">
        <v>0.2</v>
      </c>
      <c r="I295" s="25" t="n">
        <v>190</v>
      </c>
    </row>
    <row r="296">
      <c r="A296" s="25" t="inlineStr">
        <is>
          <t>ORD-10375</t>
        </is>
      </c>
      <c r="B296" s="26" t="n">
        <v>46006</v>
      </c>
      <c r="C296" s="25" t="inlineStr">
        <is>
          <t>West</t>
        </is>
      </c>
      <c r="D296" s="25" t="inlineStr">
        <is>
          <t>Office Supplies</t>
        </is>
      </c>
      <c r="E296" s="25" t="inlineStr">
        <is>
          <t>Printer Paper Box</t>
        </is>
      </c>
      <c r="F296" s="25" t="n">
        <v>1</v>
      </c>
      <c r="G296" s="25" t="n">
        <v>1600</v>
      </c>
      <c r="H296" s="28" t="n">
        <v>0.1</v>
      </c>
      <c r="I296" s="25" t="n">
        <v>1050</v>
      </c>
    </row>
    <row r="297">
      <c r="A297" s="25" t="inlineStr">
        <is>
          <t>ORD-10754</t>
        </is>
      </c>
      <c r="B297" s="26" t="n">
        <v>45910</v>
      </c>
      <c r="C297" s="25" t="inlineStr">
        <is>
          <t>North</t>
        </is>
      </c>
      <c r="D297" s="25" t="inlineStr">
        <is>
          <t>Office Supplies</t>
        </is>
      </c>
      <c r="E297" s="25" t="inlineStr">
        <is>
          <t>Notebook Set</t>
        </is>
      </c>
      <c r="F297" s="25" t="n">
        <v>3</v>
      </c>
      <c r="G297" s="25" t="n">
        <v>450</v>
      </c>
      <c r="H297" s="28" t="n">
        <v>0.05</v>
      </c>
      <c r="I297" s="25" t="n">
        <v>190</v>
      </c>
    </row>
    <row r="298">
      <c r="A298" s="25" t="inlineStr">
        <is>
          <t>ORD-10901</t>
        </is>
      </c>
      <c r="B298" s="25" t="inlineStr">
        <is>
          <t>13-Dec-2025</t>
        </is>
      </c>
      <c r="C298" s="25" t="inlineStr">
        <is>
          <t>South</t>
        </is>
      </c>
      <c r="D298" s="25" t="inlineStr">
        <is>
          <t>Office Supplies</t>
        </is>
      </c>
      <c r="E298" s="25" t="inlineStr">
        <is>
          <t>Desk Organizer</t>
        </is>
      </c>
      <c r="F298" s="25" t="n">
        <v>3</v>
      </c>
      <c r="G298" s="25" t="n">
        <v>850</v>
      </c>
      <c r="H298" s="28" t="n">
        <v>0</v>
      </c>
      <c r="I298" s="25" t="n">
        <v>420</v>
      </c>
    </row>
    <row r="299">
      <c r="A299" s="25" t="inlineStr">
        <is>
          <t>ORD-10112</t>
        </is>
      </c>
      <c r="B299" s="25" t="inlineStr">
        <is>
          <t>07-Feb-2025</t>
        </is>
      </c>
      <c r="C299" s="25" t="inlineStr">
        <is>
          <t>East</t>
        </is>
      </c>
      <c r="D299" s="25" t="inlineStr">
        <is>
          <t>Technology</t>
        </is>
      </c>
      <c r="E299" s="25" t="inlineStr">
        <is>
          <t>Monitor 24"</t>
        </is>
      </c>
      <c r="F299" s="25" t="n">
        <v>2</v>
      </c>
      <c r="G299" s="25" t="n">
        <v>11500</v>
      </c>
      <c r="H299" s="28" t="n">
        <v>0.15</v>
      </c>
      <c r="I299" s="25" t="n">
        <v>8200</v>
      </c>
    </row>
    <row r="300">
      <c r="A300" s="25" t="inlineStr">
        <is>
          <t>ORD-10295</t>
        </is>
      </c>
      <c r="B300" s="26" t="n">
        <v>45731</v>
      </c>
      <c r="C300" s="25" t="inlineStr">
        <is>
          <t>North</t>
        </is>
      </c>
      <c r="D300" s="25" t="inlineStr">
        <is>
          <t>Technology</t>
        </is>
      </c>
      <c r="E300" s="25" t="inlineStr">
        <is>
          <t>Wireless Mouse</t>
        </is>
      </c>
      <c r="F300" s="25" t="n">
        <v>2</v>
      </c>
      <c r="G300" s="25" t="n">
        <v>1200</v>
      </c>
      <c r="H300" s="28" t="n">
        <v>0.1</v>
      </c>
      <c r="I300" s="25" t="n">
        <v>650</v>
      </c>
    </row>
    <row r="301">
      <c r="A301" s="25" t="inlineStr">
        <is>
          <t>ORD-11130</t>
        </is>
      </c>
      <c r="B301" s="26" t="n">
        <v>45782</v>
      </c>
      <c r="C301" s="25" t="inlineStr">
        <is>
          <t>South</t>
        </is>
      </c>
      <c r="D301" s="25" t="inlineStr">
        <is>
          <t>Office Supplies</t>
        </is>
      </c>
      <c r="E301" s="25" t="inlineStr">
        <is>
          <t>Notebook Set</t>
        </is>
      </c>
      <c r="F301" s="25" t="n">
        <v>6</v>
      </c>
      <c r="G301" s="25" t="n">
        <v>450</v>
      </c>
      <c r="H301" s="28" t="n">
        <v>0.2</v>
      </c>
      <c r="I301" s="25" t="n">
        <v>190</v>
      </c>
    </row>
    <row r="302">
      <c r="A302" s="25" t="inlineStr">
        <is>
          <t>ORD-10900</t>
        </is>
      </c>
      <c r="B302" s="26" t="n">
        <v>45697</v>
      </c>
      <c r="C302" s="25" t="inlineStr">
        <is>
          <t>North</t>
        </is>
      </c>
      <c r="D302" s="25" t="inlineStr">
        <is>
          <t>Furniture</t>
        </is>
      </c>
      <c r="E302" s="25" t="inlineStr">
        <is>
          <t>Office Chair</t>
        </is>
      </c>
      <c r="F302" s="25" t="n">
        <v>1</v>
      </c>
      <c r="G302" s="25" t="n">
        <v>8500</v>
      </c>
      <c r="H302" s="28" t="n">
        <v>0.15</v>
      </c>
      <c r="I302" s="25" t="n">
        <v>5600</v>
      </c>
    </row>
    <row r="303">
      <c r="A303" s="25" t="inlineStr">
        <is>
          <t>ORD-10813</t>
        </is>
      </c>
      <c r="B303" s="25" t="inlineStr">
        <is>
          <t>14-Mar-2025</t>
        </is>
      </c>
      <c r="C303" s="25" t="inlineStr">
        <is>
          <t>South</t>
        </is>
      </c>
      <c r="D303" s="25" t="inlineStr">
        <is>
          <t>Office Supplies</t>
        </is>
      </c>
      <c r="E303" s="25" t="inlineStr">
        <is>
          <t>Desk Organizer</t>
        </is>
      </c>
      <c r="F303" s="25" t="n">
        <v>1</v>
      </c>
      <c r="G303" s="25" t="n">
        <v>850</v>
      </c>
      <c r="H303" s="28" t="n">
        <v>0</v>
      </c>
      <c r="I303" s="25" t="n">
        <v>420</v>
      </c>
    </row>
    <row r="304">
      <c r="A304" s="25" t="inlineStr">
        <is>
          <t>ORD-10585</t>
        </is>
      </c>
      <c r="B304" s="25" t="inlineStr">
        <is>
          <t>07-Jan-2025</t>
        </is>
      </c>
      <c r="C304" s="25" t="inlineStr">
        <is>
          <t>North</t>
        </is>
      </c>
      <c r="D304" s="25" t="inlineStr">
        <is>
          <t>Technology</t>
        </is>
      </c>
      <c r="E304" s="25" t="inlineStr">
        <is>
          <t>Mechanical Keyboard</t>
        </is>
      </c>
      <c r="F304" s="25" t="n">
        <v>3</v>
      </c>
      <c r="G304" s="25" t="n">
        <v>4200</v>
      </c>
      <c r="H304" s="28" t="n">
        <v>0</v>
      </c>
      <c r="I304" s="25" t="n">
        <v>2500</v>
      </c>
    </row>
    <row r="305">
      <c r="A305" s="25" t="inlineStr">
        <is>
          <t>ORD-10738</t>
        </is>
      </c>
      <c r="B305" s="26" t="n">
        <v>45805</v>
      </c>
      <c r="C305" s="25" t="inlineStr">
        <is>
          <t>South</t>
        </is>
      </c>
      <c r="D305" s="25" t="inlineStr">
        <is>
          <t>Office Supplies</t>
        </is>
      </c>
      <c r="E305" s="25" t="inlineStr">
        <is>
          <t>Desk Organizer</t>
        </is>
      </c>
      <c r="F305" s="25" t="n">
        <v>2</v>
      </c>
      <c r="G305" s="25" t="n">
        <v>850</v>
      </c>
      <c r="H305" s="28" t="n">
        <v>0</v>
      </c>
      <c r="I305" s="25" t="n">
        <v>420</v>
      </c>
    </row>
    <row r="306">
      <c r="A306" s="25" t="inlineStr">
        <is>
          <t>ORD-10044</t>
        </is>
      </c>
      <c r="B306" s="26" t="n">
        <v>45955</v>
      </c>
      <c r="C306" s="25" t="inlineStr">
        <is>
          <t>East</t>
        </is>
      </c>
      <c r="D306" s="25" t="inlineStr">
        <is>
          <t>Office Supplies</t>
        </is>
      </c>
      <c r="E306" s="25" t="inlineStr">
        <is>
          <t>Printer Paper Box</t>
        </is>
      </c>
      <c r="F306" s="25" t="n">
        <v>6</v>
      </c>
      <c r="G306" s="25" t="n">
        <v>1600</v>
      </c>
      <c r="H306" s="28" t="n">
        <v>0</v>
      </c>
      <c r="I306" s="25" t="n">
        <v>1050</v>
      </c>
    </row>
    <row r="307">
      <c r="A307" s="25" t="inlineStr">
        <is>
          <t>ORD-10312</t>
        </is>
      </c>
      <c r="B307" s="25" t="inlineStr">
        <is>
          <t>01-Jun-2025</t>
        </is>
      </c>
      <c r="C307" s="25" t="inlineStr">
        <is>
          <t>West</t>
        </is>
      </c>
      <c r="D307" s="25" t="inlineStr">
        <is>
          <t>Office Supplies</t>
        </is>
      </c>
      <c r="E307" s="25" t="inlineStr">
        <is>
          <t>Notebook Set</t>
        </is>
      </c>
      <c r="F307" s="25" t="n">
        <v>1</v>
      </c>
      <c r="G307" s="25" t="n">
        <v>450</v>
      </c>
      <c r="H307" s="28" t="n">
        <v>0.2</v>
      </c>
      <c r="I307" s="25" t="n">
        <v>190</v>
      </c>
    </row>
    <row r="308">
      <c r="A308" s="25" t="inlineStr">
        <is>
          <t>ORD-10772</t>
        </is>
      </c>
      <c r="B308" s="25" t="inlineStr">
        <is>
          <t>03-Aug-2025</t>
        </is>
      </c>
      <c r="C308" s="25" t="inlineStr">
        <is>
          <t>West</t>
        </is>
      </c>
      <c r="D308" s="25" t="inlineStr">
        <is>
          <t>Technology</t>
        </is>
      </c>
      <c r="E308" s="25" t="inlineStr">
        <is>
          <t>Mechanical Keyboard</t>
        </is>
      </c>
      <c r="F308" s="25" t="n">
        <v>1</v>
      </c>
      <c r="G308" s="25" t="n">
        <v>4200</v>
      </c>
      <c r="H308" s="28" t="n">
        <v>0.05</v>
      </c>
      <c r="I308" s="25" t="n">
        <v>2500</v>
      </c>
    </row>
    <row r="309">
      <c r="A309" s="25" t="inlineStr">
        <is>
          <t>ORD-10309</t>
        </is>
      </c>
      <c r="B309" s="26" t="n">
        <v>45682</v>
      </c>
      <c r="C309" s="25" t="inlineStr">
        <is>
          <t>South</t>
        </is>
      </c>
      <c r="D309" s="25" t="inlineStr">
        <is>
          <t>Technology</t>
        </is>
      </c>
      <c r="E309" s="25" t="inlineStr">
        <is>
          <t>Mechanical Keyboard</t>
        </is>
      </c>
      <c r="F309" s="25" t="n">
        <v>2</v>
      </c>
      <c r="G309" s="25" t="n">
        <v>4200</v>
      </c>
      <c r="H309" s="28" t="n">
        <v>0</v>
      </c>
      <c r="I309" s="25" t="n">
        <v>2500</v>
      </c>
    </row>
    <row r="310">
      <c r="A310" s="25" t="inlineStr">
        <is>
          <t>ORD-10436</t>
        </is>
      </c>
      <c r="B310" s="25" t="inlineStr">
        <is>
          <t>26-Jun-2025</t>
        </is>
      </c>
      <c r="C310" s="25" t="inlineStr">
        <is>
          <t>West</t>
        </is>
      </c>
      <c r="D310" s="25" t="inlineStr">
        <is>
          <t>Technology</t>
        </is>
      </c>
      <c r="E310" s="25" t="inlineStr">
        <is>
          <t>Mechanical Keyboard</t>
        </is>
      </c>
      <c r="F310" s="25" t="n">
        <v>3</v>
      </c>
      <c r="G310" s="25" t="n">
        <v>4200</v>
      </c>
      <c r="H310" s="28" t="n">
        <v>0.05</v>
      </c>
      <c r="I310" s="25" t="n">
        <v>2500</v>
      </c>
    </row>
    <row r="311">
      <c r="A311" s="25" t="inlineStr">
        <is>
          <t>ORD-10402</t>
        </is>
      </c>
      <c r="B311" s="25" t="inlineStr">
        <is>
          <t>04-Sep-2025</t>
        </is>
      </c>
      <c r="C311" s="25" t="inlineStr">
        <is>
          <t>South</t>
        </is>
      </c>
      <c r="D311" s="25" t="inlineStr">
        <is>
          <t>Office Supplies</t>
        </is>
      </c>
      <c r="E311" s="25" t="inlineStr">
        <is>
          <t>Printer Paper Box</t>
        </is>
      </c>
      <c r="F311" s="25" t="n">
        <v>6</v>
      </c>
      <c r="G311" s="25" t="n">
        <v>1600</v>
      </c>
      <c r="H311" s="28" t="n">
        <v>0</v>
      </c>
      <c r="I311" s="25" t="n">
        <v>1050</v>
      </c>
    </row>
    <row r="312">
      <c r="A312" s="25" t="inlineStr">
        <is>
          <t>ORD-10113</t>
        </is>
      </c>
      <c r="B312" s="26" t="n">
        <v>45753</v>
      </c>
      <c r="C312" s="25" t="inlineStr">
        <is>
          <t>South</t>
        </is>
      </c>
      <c r="D312" s="25" t="inlineStr">
        <is>
          <t>Technology</t>
        </is>
      </c>
      <c r="E312" s="25" t="inlineStr">
        <is>
          <t>Wireless Mouse</t>
        </is>
      </c>
      <c r="F312" s="25" t="n">
        <v>5</v>
      </c>
      <c r="G312" s="25" t="n">
        <v>1200</v>
      </c>
      <c r="H312" s="28" t="n">
        <v>0.05</v>
      </c>
      <c r="I312" s="25" t="n">
        <v>650</v>
      </c>
    </row>
    <row r="313">
      <c r="A313" s="25" t="inlineStr">
        <is>
          <t>ORD-10592</t>
        </is>
      </c>
      <c r="B313" s="26" t="n">
        <v>45925</v>
      </c>
      <c r="C313" s="25" t="inlineStr">
        <is>
          <t>North</t>
        </is>
      </c>
      <c r="D313" s="25" t="inlineStr">
        <is>
          <t>Accessories</t>
        </is>
      </c>
      <c r="E313" s="25" t="inlineStr">
        <is>
          <t>Headphones</t>
        </is>
      </c>
      <c r="F313" s="25" t="n">
        <v>3</v>
      </c>
      <c r="G313" s="25" t="n">
        <v>4500</v>
      </c>
      <c r="H313" s="28" t="n">
        <v>0.1</v>
      </c>
      <c r="I313" s="25" t="n">
        <v>2600</v>
      </c>
    </row>
    <row r="314">
      <c r="A314" s="25" t="inlineStr">
        <is>
          <t>ORD-10018</t>
        </is>
      </c>
      <c r="B314" s="25" t="inlineStr">
        <is>
          <t>22-Dec-2025</t>
        </is>
      </c>
      <c r="C314" s="25" t="inlineStr">
        <is>
          <t>South</t>
        </is>
      </c>
      <c r="D314" s="25" t="inlineStr">
        <is>
          <t>Accessories</t>
        </is>
      </c>
      <c r="E314" s="25" t="inlineStr">
        <is>
          <t>USB-C Hub</t>
        </is>
      </c>
      <c r="F314" s="25" t="n">
        <v>1</v>
      </c>
      <c r="G314" s="25" t="n">
        <v>1800</v>
      </c>
      <c r="H314" s="28" t="n">
        <v>0</v>
      </c>
      <c r="I314" s="25" t="n">
        <v>980</v>
      </c>
    </row>
    <row r="315">
      <c r="A315" s="25" t="inlineStr">
        <is>
          <t>ORD-10535</t>
        </is>
      </c>
      <c r="B315" s="25" t="inlineStr">
        <is>
          <t>02-Jun-2025</t>
        </is>
      </c>
      <c r="C315" s="25" t="inlineStr">
        <is>
          <t>South</t>
        </is>
      </c>
      <c r="D315" s="25" t="inlineStr">
        <is>
          <t>Technology</t>
        </is>
      </c>
      <c r="E315" s="25" t="inlineStr">
        <is>
          <t>Mechanical Keyboard</t>
        </is>
      </c>
      <c r="F315" s="25" t="n">
        <v>1</v>
      </c>
      <c r="G315" s="25" t="n">
        <v>4200</v>
      </c>
      <c r="H315" s="28" t="n">
        <v>0.15</v>
      </c>
      <c r="I315" s="25" t="n">
        <v>2500</v>
      </c>
    </row>
    <row r="316">
      <c r="A316" s="25" t="inlineStr">
        <is>
          <t>ORD-10108</t>
        </is>
      </c>
      <c r="B316" s="26" t="n">
        <v>45944</v>
      </c>
      <c r="C316" s="25" t="inlineStr">
        <is>
          <t>South</t>
        </is>
      </c>
      <c r="D316" s="25" t="inlineStr">
        <is>
          <t>Technology</t>
        </is>
      </c>
      <c r="E316" s="25" t="inlineStr">
        <is>
          <t>Wireless Mouse</t>
        </is>
      </c>
      <c r="F316" s="25" t="n">
        <v>1</v>
      </c>
      <c r="G316" s="25" t="n">
        <v>1200</v>
      </c>
      <c r="H316" s="28" t="n">
        <v>0</v>
      </c>
      <c r="I316" s="25" t="n">
        <v>650</v>
      </c>
    </row>
    <row r="317">
      <c r="A317" s="25" t="inlineStr">
        <is>
          <t>ORD-10002</t>
        </is>
      </c>
      <c r="B317" s="26" t="n">
        <v>45938</v>
      </c>
      <c r="C317" s="25" t="inlineStr">
        <is>
          <t>West</t>
        </is>
      </c>
      <c r="D317" s="25" t="inlineStr">
        <is>
          <t>Office Supplies</t>
        </is>
      </c>
      <c r="E317" s="25" t="inlineStr">
        <is>
          <t>Printer Paper Box</t>
        </is>
      </c>
      <c r="F317" s="25" t="n">
        <v>2</v>
      </c>
      <c r="G317" s="25" t="n">
        <v>1600</v>
      </c>
      <c r="H317" s="28" t="n">
        <v>0</v>
      </c>
      <c r="I317" s="25" t="n">
        <v>1050</v>
      </c>
    </row>
    <row r="318">
      <c r="A318" s="25" t="inlineStr">
        <is>
          <t>ORD-10270</t>
        </is>
      </c>
      <c r="B318" s="26" t="n">
        <v>45846</v>
      </c>
      <c r="C318" s="25" t="inlineStr">
        <is>
          <t>North</t>
        </is>
      </c>
      <c r="D318" s="25" t="inlineStr">
        <is>
          <t>Furniture</t>
        </is>
      </c>
      <c r="E318" s="25" t="inlineStr">
        <is>
          <t>Bookshelf</t>
        </is>
      </c>
      <c r="F318" s="25" t="n">
        <v>3</v>
      </c>
      <c r="G318" s="25" t="n"/>
      <c r="H318" s="28" t="n">
        <v>0.1</v>
      </c>
      <c r="I318" s="25" t="n">
        <v>4100</v>
      </c>
    </row>
    <row r="319">
      <c r="A319" s="25" t="inlineStr">
        <is>
          <t>ORD-10407</t>
        </is>
      </c>
      <c r="B319" s="26" t="n">
        <v>45724</v>
      </c>
      <c r="C319" s="25" t="inlineStr">
        <is>
          <t>South</t>
        </is>
      </c>
      <c r="D319" s="25" t="inlineStr">
        <is>
          <t>Accessories</t>
        </is>
      </c>
      <c r="E319" s="25" t="inlineStr">
        <is>
          <t>Webcam</t>
        </is>
      </c>
      <c r="F319" s="25" t="n">
        <v>2</v>
      </c>
      <c r="G319" s="25" t="n">
        <v>3200</v>
      </c>
      <c r="H319" s="28" t="n">
        <v>0</v>
      </c>
      <c r="I319" s="25" t="n">
        <v>1900</v>
      </c>
    </row>
    <row r="320">
      <c r="A320" s="25" t="inlineStr">
        <is>
          <t>ORD-10532</t>
        </is>
      </c>
      <c r="B320" s="26" t="n">
        <v>45984</v>
      </c>
      <c r="C320" s="25" t="inlineStr">
        <is>
          <t>North</t>
        </is>
      </c>
      <c r="D320" s="25" t="inlineStr">
        <is>
          <t>Office Supplies</t>
        </is>
      </c>
      <c r="E320" s="25" t="inlineStr">
        <is>
          <t>Notebook Set</t>
        </is>
      </c>
      <c r="F320" s="25" t="n">
        <v>5</v>
      </c>
      <c r="G320" s="25" t="n">
        <v>450</v>
      </c>
      <c r="H320" s="28" t="n">
        <v>0</v>
      </c>
      <c r="I320" s="25" t="n">
        <v>190</v>
      </c>
    </row>
    <row r="321">
      <c r="A321" s="25" t="inlineStr">
        <is>
          <t>ORD-10648</t>
        </is>
      </c>
      <c r="B321" s="26" t="n">
        <v>45973</v>
      </c>
      <c r="C321" s="25" t="inlineStr">
        <is>
          <t>South</t>
        </is>
      </c>
      <c r="D321" s="25" t="inlineStr">
        <is>
          <t>Technology</t>
        </is>
      </c>
      <c r="E321" s="25" t="inlineStr">
        <is>
          <t>Wireless Mouse</t>
        </is>
      </c>
      <c r="F321" s="25" t="n">
        <v>1</v>
      </c>
      <c r="G321" s="25" t="n">
        <v>1200</v>
      </c>
      <c r="H321" s="28" t="n">
        <v>0</v>
      </c>
      <c r="I321" s="25" t="n">
        <v>650</v>
      </c>
    </row>
    <row r="322">
      <c r="A322" s="25" t="inlineStr">
        <is>
          <t>ORD-10041</t>
        </is>
      </c>
      <c r="B322" s="26" t="n">
        <v>45988</v>
      </c>
      <c r="C322" s="25" t="inlineStr">
        <is>
          <t>North</t>
        </is>
      </c>
      <c r="D322" s="25" t="inlineStr">
        <is>
          <t>Office Supplies</t>
        </is>
      </c>
      <c r="E322" s="25" t="inlineStr">
        <is>
          <t>Printer Paper Box</t>
        </is>
      </c>
      <c r="F322" s="25" t="n">
        <v>1</v>
      </c>
      <c r="G322" s="25" t="n">
        <v>1600</v>
      </c>
      <c r="H322" s="28" t="n">
        <v>0</v>
      </c>
      <c r="I322" s="25" t="n">
        <v>1050</v>
      </c>
    </row>
    <row r="323">
      <c r="A323" s="25" t="inlineStr">
        <is>
          <t>ORD-10740</t>
        </is>
      </c>
      <c r="B323" s="26" t="n">
        <v>45983</v>
      </c>
      <c r="C323" s="25" t="inlineStr">
        <is>
          <t>north</t>
        </is>
      </c>
      <c r="D323" s="25" t="inlineStr">
        <is>
          <t>Office Supplies</t>
        </is>
      </c>
      <c r="E323" s="25" t="inlineStr">
        <is>
          <t>Notebook Set</t>
        </is>
      </c>
      <c r="F323" s="25" t="n">
        <v>7</v>
      </c>
      <c r="G323" s="25" t="n">
        <v>450</v>
      </c>
      <c r="H323" s="28" t="n">
        <v>0.2</v>
      </c>
      <c r="I323" s="25" t="n">
        <v>190</v>
      </c>
    </row>
    <row r="324">
      <c r="A324" s="25" t="inlineStr">
        <is>
          <t>ORD-10093</t>
        </is>
      </c>
      <c r="B324" s="26" t="n">
        <v>45765</v>
      </c>
      <c r="C324" s="25" t="inlineStr">
        <is>
          <t>West</t>
        </is>
      </c>
      <c r="D324" s="25" t="inlineStr">
        <is>
          <t>Office Supplies</t>
        </is>
      </c>
      <c r="E324" s="25" t="inlineStr">
        <is>
          <t>Printer Paper Box</t>
        </is>
      </c>
      <c r="F324" s="25" t="n">
        <v>4</v>
      </c>
      <c r="G324" s="25" t="n">
        <v>1600</v>
      </c>
      <c r="H324" s="28" t="n">
        <v>0</v>
      </c>
      <c r="I324" s="25" t="n">
        <v>1050</v>
      </c>
    </row>
    <row r="325">
      <c r="A325" s="25" t="inlineStr">
        <is>
          <t>ORD-10962</t>
        </is>
      </c>
      <c r="B325" s="26" t="n">
        <v>45911</v>
      </c>
      <c r="C325" s="25" t="inlineStr">
        <is>
          <t>South</t>
        </is>
      </c>
      <c r="D325" s="25" t="inlineStr">
        <is>
          <t>Technology</t>
        </is>
      </c>
      <c r="E325" s="25" t="inlineStr">
        <is>
          <t>Monitor 24"</t>
        </is>
      </c>
      <c r="F325" s="25" t="n">
        <v>1</v>
      </c>
      <c r="G325" s="25" t="n">
        <v>11500</v>
      </c>
      <c r="H325" s="28" t="n">
        <v>0</v>
      </c>
      <c r="I325" s="25" t="n">
        <v>8200</v>
      </c>
    </row>
    <row r="326">
      <c r="A326" s="25" t="inlineStr">
        <is>
          <t>ORD-11146</t>
        </is>
      </c>
      <c r="B326" s="26" t="n">
        <v>45915</v>
      </c>
      <c r="C326" s="25" t="inlineStr">
        <is>
          <t xml:space="preserve">West </t>
        </is>
      </c>
      <c r="D326" s="25" t="inlineStr">
        <is>
          <t>Technology</t>
        </is>
      </c>
      <c r="E326" s="25" t="inlineStr">
        <is>
          <t>Mechanical Keyboard</t>
        </is>
      </c>
      <c r="F326" s="25" t="n">
        <v>1</v>
      </c>
      <c r="G326" s="25" t="n">
        <v>4200</v>
      </c>
      <c r="H326" s="28" t="n">
        <v>0</v>
      </c>
      <c r="I326" s="25" t="n">
        <v>2500</v>
      </c>
    </row>
    <row r="327">
      <c r="A327" s="25" t="inlineStr">
        <is>
          <t>ORD-10080</t>
        </is>
      </c>
      <c r="B327" s="26" t="n">
        <v>45751</v>
      </c>
      <c r="C327" s="25" t="inlineStr">
        <is>
          <t>North</t>
        </is>
      </c>
      <c r="D327" s="25" t="inlineStr">
        <is>
          <t>Office Supplies</t>
        </is>
      </c>
      <c r="E327" s="25" t="inlineStr">
        <is>
          <t>Desk Organizer</t>
        </is>
      </c>
      <c r="F327" s="25" t="n">
        <v>2</v>
      </c>
      <c r="G327" s="25" t="n">
        <v>850</v>
      </c>
      <c r="H327" s="28" t="n">
        <v>0.05</v>
      </c>
      <c r="I327" s="25" t="n">
        <v>420</v>
      </c>
    </row>
    <row r="328">
      <c r="A328" s="25" t="inlineStr">
        <is>
          <t>ORD-10775</t>
        </is>
      </c>
      <c r="B328" s="26" t="n">
        <v>45667</v>
      </c>
      <c r="C328" s="25" t="inlineStr">
        <is>
          <t>West</t>
        </is>
      </c>
      <c r="D328" s="25" t="inlineStr">
        <is>
          <t>Office Supplies</t>
        </is>
      </c>
      <c r="E328" s="25" t="inlineStr">
        <is>
          <t>Printer Paper Box</t>
        </is>
      </c>
      <c r="F328" s="25" t="n">
        <v>6</v>
      </c>
      <c r="G328" s="25" t="n">
        <v>1600</v>
      </c>
      <c r="H328" s="28" t="n">
        <v>0</v>
      </c>
      <c r="I328" s="25" t="n">
        <v>1050</v>
      </c>
    </row>
    <row r="329">
      <c r="A329" s="25" t="inlineStr">
        <is>
          <t>ORD-10828</t>
        </is>
      </c>
      <c r="B329" s="26" t="n">
        <v>45703</v>
      </c>
      <c r="C329" s="25" t="inlineStr">
        <is>
          <t>North</t>
        </is>
      </c>
      <c r="D329" s="25" t="inlineStr">
        <is>
          <t>Accessories</t>
        </is>
      </c>
      <c r="E329" s="25" t="inlineStr">
        <is>
          <t>Headphones</t>
        </is>
      </c>
      <c r="F329" s="25" t="n">
        <v>2</v>
      </c>
      <c r="G329" s="25" t="n">
        <v>4500</v>
      </c>
      <c r="H329" s="28" t="n">
        <v>0</v>
      </c>
      <c r="I329" s="25" t="n">
        <v>2600</v>
      </c>
    </row>
    <row r="330">
      <c r="A330" s="25" t="inlineStr">
        <is>
          <t>ORD-10463</t>
        </is>
      </c>
      <c r="B330" s="26" t="n">
        <v>45856</v>
      </c>
      <c r="C330" s="25" t="inlineStr">
        <is>
          <t>North</t>
        </is>
      </c>
      <c r="D330" s="25" t="inlineStr">
        <is>
          <t>Furniture</t>
        </is>
      </c>
      <c r="E330" s="25" t="inlineStr">
        <is>
          <t>Office Chair</t>
        </is>
      </c>
      <c r="F330" s="25" t="n">
        <v>1</v>
      </c>
      <c r="G330" s="25" t="n">
        <v>8500</v>
      </c>
      <c r="H330" s="28" t="n">
        <v>0</v>
      </c>
      <c r="I330" s="25" t="n">
        <v>5600</v>
      </c>
    </row>
    <row r="331">
      <c r="A331" s="25" t="inlineStr">
        <is>
          <t>ORD-10401</t>
        </is>
      </c>
      <c r="B331" s="26" t="n">
        <v>45932</v>
      </c>
      <c r="C331" s="25" t="inlineStr">
        <is>
          <t>east</t>
        </is>
      </c>
      <c r="D331" s="25" t="inlineStr">
        <is>
          <t>Technology</t>
        </is>
      </c>
      <c r="E331" s="25" t="inlineStr">
        <is>
          <t>Wireless Mouse</t>
        </is>
      </c>
      <c r="F331" s="25" t="n">
        <v>4</v>
      </c>
      <c r="G331" s="25" t="n">
        <v>1200</v>
      </c>
      <c r="H331" s="28" t="n">
        <v>0.1</v>
      </c>
      <c r="I331" s="25" t="n">
        <v>650</v>
      </c>
    </row>
    <row r="332">
      <c r="A332" s="25" t="inlineStr">
        <is>
          <t>ORD-10157</t>
        </is>
      </c>
      <c r="B332" s="25" t="inlineStr">
        <is>
          <t>04-Jan-2025</t>
        </is>
      </c>
      <c r="C332" s="25" t="inlineStr">
        <is>
          <t>West</t>
        </is>
      </c>
      <c r="D332" s="25" t="inlineStr">
        <is>
          <t>Accessories</t>
        </is>
      </c>
      <c r="E332" s="25" t="inlineStr">
        <is>
          <t>Headphones</t>
        </is>
      </c>
      <c r="F332" s="25" t="n">
        <v>3</v>
      </c>
      <c r="G332" s="25" t="n">
        <v>4500</v>
      </c>
      <c r="H332" s="28" t="n">
        <v>0</v>
      </c>
      <c r="I332" s="25" t="n">
        <v>2600</v>
      </c>
    </row>
    <row r="333">
      <c r="A333" s="25" t="inlineStr">
        <is>
          <t>ORD-10742</t>
        </is>
      </c>
      <c r="B333" s="26" t="n">
        <v>45872</v>
      </c>
      <c r="C333" s="25" t="inlineStr">
        <is>
          <t>south</t>
        </is>
      </c>
      <c r="D333" s="25" t="inlineStr">
        <is>
          <t>Furniture</t>
        </is>
      </c>
      <c r="E333" s="25" t="inlineStr">
        <is>
          <t>Office Chair</t>
        </is>
      </c>
      <c r="F333" s="25" t="n">
        <v>1</v>
      </c>
      <c r="G333" s="25" t="n">
        <v>8500</v>
      </c>
      <c r="H333" s="28" t="n">
        <v>0.15</v>
      </c>
      <c r="I333" s="25" t="n">
        <v>5600</v>
      </c>
    </row>
    <row r="334">
      <c r="A334" s="25" t="inlineStr">
        <is>
          <t>ORD-10088</t>
        </is>
      </c>
      <c r="B334" s="26" t="n">
        <v>45904</v>
      </c>
      <c r="C334" s="25" t="inlineStr">
        <is>
          <t>South</t>
        </is>
      </c>
      <c r="D334" s="25" t="inlineStr">
        <is>
          <t>Technology</t>
        </is>
      </c>
      <c r="E334" s="25" t="inlineStr">
        <is>
          <t>Wireless Mouse</t>
        </is>
      </c>
      <c r="F334" s="25" t="n">
        <v>1</v>
      </c>
      <c r="G334" s="25" t="n">
        <v>1200</v>
      </c>
      <c r="H334" s="28" t="n">
        <v>0</v>
      </c>
      <c r="I334" s="25" t="n">
        <v>650</v>
      </c>
    </row>
    <row r="335">
      <c r="A335" s="25" t="inlineStr">
        <is>
          <t>ORD-10317</t>
        </is>
      </c>
      <c r="B335" s="26" t="n">
        <v>45889</v>
      </c>
      <c r="C335" s="25" t="inlineStr">
        <is>
          <t>South</t>
        </is>
      </c>
      <c r="D335" s="25" t="inlineStr">
        <is>
          <t>Office Supplies</t>
        </is>
      </c>
      <c r="E335" s="25" t="inlineStr">
        <is>
          <t>Notebook Set</t>
        </is>
      </c>
      <c r="F335" s="25" t="n">
        <v>5</v>
      </c>
      <c r="G335" s="25" t="n">
        <v>450</v>
      </c>
      <c r="H335" s="28" t="n">
        <v>0.2</v>
      </c>
      <c r="I335" s="25" t="n">
        <v>190</v>
      </c>
    </row>
    <row r="336">
      <c r="A336" s="25" t="inlineStr">
        <is>
          <t>ORD-10232</t>
        </is>
      </c>
      <c r="B336" s="25" t="inlineStr">
        <is>
          <t>16-Oct-2025</t>
        </is>
      </c>
      <c r="C336" s="25" t="inlineStr">
        <is>
          <t>South</t>
        </is>
      </c>
      <c r="D336" s="25" t="inlineStr">
        <is>
          <t>Office Supplies</t>
        </is>
      </c>
      <c r="E336" s="25" t="inlineStr">
        <is>
          <t>Printer Paper Box</t>
        </is>
      </c>
      <c r="F336" s="25" t="n">
        <v>4</v>
      </c>
      <c r="G336" s="25" t="n">
        <v>1600</v>
      </c>
      <c r="H336" s="28" t="n">
        <v>0</v>
      </c>
      <c r="I336" s="25" t="n">
        <v>1050</v>
      </c>
    </row>
    <row r="337">
      <c r="A337" s="25" t="inlineStr">
        <is>
          <t>ORD-10292</t>
        </is>
      </c>
      <c r="B337" s="26" t="n">
        <v>45893</v>
      </c>
      <c r="C337" s="25" t="inlineStr">
        <is>
          <t>East</t>
        </is>
      </c>
      <c r="D337" s="25" t="inlineStr">
        <is>
          <t>Technology</t>
        </is>
      </c>
      <c r="E337" s="25" t="inlineStr">
        <is>
          <t>Mechanical Keyboard</t>
        </is>
      </c>
      <c r="F337" s="25" t="n">
        <v>1</v>
      </c>
      <c r="G337" s="25" t="n">
        <v>4200</v>
      </c>
      <c r="H337" s="28" t="n">
        <v>0.15</v>
      </c>
      <c r="I337" s="25" t="n">
        <v>2500</v>
      </c>
    </row>
    <row r="338">
      <c r="A338" s="25" t="inlineStr">
        <is>
          <t>ORD-10364</t>
        </is>
      </c>
      <c r="B338" s="26" t="n">
        <v>45737</v>
      </c>
      <c r="C338" s="25" t="inlineStr">
        <is>
          <t xml:space="preserve">West </t>
        </is>
      </c>
      <c r="D338" s="25" t="inlineStr">
        <is>
          <t>Accessories</t>
        </is>
      </c>
      <c r="E338" s="25" t="inlineStr">
        <is>
          <t>USB-C Hub</t>
        </is>
      </c>
      <c r="F338" s="25" t="n">
        <v>4</v>
      </c>
      <c r="G338" s="25" t="n">
        <v>1800</v>
      </c>
      <c r="H338" s="28" t="n">
        <v>0.2</v>
      </c>
      <c r="I338" s="25" t="n">
        <v>980</v>
      </c>
    </row>
    <row r="339">
      <c r="A339" s="25" t="inlineStr">
        <is>
          <t>ORD-10255</t>
        </is>
      </c>
      <c r="B339" s="26" t="n">
        <v>45993</v>
      </c>
      <c r="C339" s="25" t="inlineStr">
        <is>
          <t>South</t>
        </is>
      </c>
      <c r="D339" s="25" t="inlineStr">
        <is>
          <t>Office Supplies</t>
        </is>
      </c>
      <c r="E339" s="25" t="inlineStr">
        <is>
          <t>Desk Organizer</t>
        </is>
      </c>
      <c r="F339" s="25" t="n">
        <v>3</v>
      </c>
      <c r="G339" s="25" t="n">
        <v>850</v>
      </c>
      <c r="H339" s="28" t="n">
        <v>0.1</v>
      </c>
      <c r="I339" s="25" t="n">
        <v>420</v>
      </c>
    </row>
    <row r="340">
      <c r="A340" s="25" t="inlineStr">
        <is>
          <t>ORD-11098</t>
        </is>
      </c>
      <c r="B340" s="25" t="inlineStr">
        <is>
          <t>23-Feb-2025</t>
        </is>
      </c>
      <c r="C340" s="25" t="inlineStr">
        <is>
          <t>West</t>
        </is>
      </c>
      <c r="D340" s="25" t="inlineStr">
        <is>
          <t>Office Supplies</t>
        </is>
      </c>
      <c r="E340" s="25" t="inlineStr">
        <is>
          <t>Notebook Set</t>
        </is>
      </c>
      <c r="F340" s="25" t="n">
        <v>7</v>
      </c>
      <c r="G340" s="25" t="n">
        <v>450</v>
      </c>
      <c r="H340" s="28" t="n">
        <v>0</v>
      </c>
      <c r="I340" s="25" t="n">
        <v>190</v>
      </c>
    </row>
    <row r="341">
      <c r="A341" s="25" t="inlineStr">
        <is>
          <t>ORD-10906</t>
        </is>
      </c>
      <c r="B341" s="26" t="n">
        <v>45949</v>
      </c>
      <c r="C341" s="25" t="inlineStr">
        <is>
          <t>WEST</t>
        </is>
      </c>
      <c r="D341" s="25" t="inlineStr">
        <is>
          <t>Accessories</t>
        </is>
      </c>
      <c r="E341" s="25" t="inlineStr">
        <is>
          <t>USB-C Hub</t>
        </is>
      </c>
      <c r="F341" s="25" t="n">
        <v>2</v>
      </c>
      <c r="G341" s="25" t="n">
        <v>1800</v>
      </c>
      <c r="H341" s="28" t="n">
        <v>0</v>
      </c>
      <c r="I341" s="25" t="n">
        <v>980</v>
      </c>
    </row>
    <row r="342">
      <c r="A342" s="25" t="inlineStr">
        <is>
          <t>ORD-10594</t>
        </is>
      </c>
      <c r="B342" s="25" t="inlineStr">
        <is>
          <t>09-Oct-2025</t>
        </is>
      </c>
      <c r="C342" s="25" t="inlineStr">
        <is>
          <t>East</t>
        </is>
      </c>
      <c r="D342" s="25" t="inlineStr">
        <is>
          <t>Furniture</t>
        </is>
      </c>
      <c r="E342" s="25" t="inlineStr">
        <is>
          <t>Standing Desk</t>
        </is>
      </c>
      <c r="F342" s="25" t="n">
        <v>1</v>
      </c>
      <c r="G342" s="25" t="n">
        <v>19500</v>
      </c>
      <c r="H342" s="28" t="n">
        <v>0</v>
      </c>
      <c r="I342" s="25" t="n">
        <v>13800</v>
      </c>
    </row>
    <row r="343">
      <c r="A343" s="25" t="inlineStr">
        <is>
          <t>ORD-10882</t>
        </is>
      </c>
      <c r="B343" s="26" t="n">
        <v>45690</v>
      </c>
      <c r="C343" s="25" t="inlineStr">
        <is>
          <t>West</t>
        </is>
      </c>
      <c r="D343" s="25" t="inlineStr">
        <is>
          <t>Office Supplies</t>
        </is>
      </c>
      <c r="E343" s="25" t="inlineStr">
        <is>
          <t>Notebook Set</t>
        </is>
      </c>
      <c r="F343" s="25" t="n">
        <v>7</v>
      </c>
      <c r="G343" s="25" t="n">
        <v>450</v>
      </c>
      <c r="H343" s="28" t="n">
        <v>0.2</v>
      </c>
      <c r="I343" s="25" t="n">
        <v>190</v>
      </c>
    </row>
    <row r="344">
      <c r="A344" s="25" t="inlineStr">
        <is>
          <t>ORD-11141</t>
        </is>
      </c>
      <c r="B344" s="25" t="inlineStr">
        <is>
          <t>05-Apr-2025</t>
        </is>
      </c>
      <c r="C344" s="25" t="inlineStr">
        <is>
          <t>North</t>
        </is>
      </c>
      <c r="D344" s="25" t="inlineStr">
        <is>
          <t>Technology</t>
        </is>
      </c>
      <c r="E344" s="25" t="inlineStr">
        <is>
          <t>Monitor 24"</t>
        </is>
      </c>
      <c r="F344" s="25" t="n">
        <v>2</v>
      </c>
      <c r="G344" s="25" t="n">
        <v>11500</v>
      </c>
      <c r="H344" s="28" t="n">
        <v>0</v>
      </c>
      <c r="I344" s="25" t="n">
        <v>8200</v>
      </c>
    </row>
    <row r="345">
      <c r="A345" s="25" t="inlineStr">
        <is>
          <t>ORD-10629</t>
        </is>
      </c>
      <c r="B345" s="25" t="inlineStr">
        <is>
          <t>17-Apr-2025</t>
        </is>
      </c>
      <c r="C345" s="25" t="inlineStr">
        <is>
          <t>North</t>
        </is>
      </c>
      <c r="D345" s="25" t="inlineStr">
        <is>
          <t>Office Supplies</t>
        </is>
      </c>
      <c r="E345" s="25" t="inlineStr">
        <is>
          <t>Notebook Set</t>
        </is>
      </c>
      <c r="F345" s="25" t="n">
        <v>5</v>
      </c>
      <c r="G345" s="25" t="n">
        <v>450</v>
      </c>
      <c r="H345" s="28" t="n">
        <v>0.05</v>
      </c>
      <c r="I345" s="25" t="n">
        <v>190</v>
      </c>
    </row>
    <row r="346">
      <c r="A346" s="25" t="inlineStr">
        <is>
          <t>ORD-10814</t>
        </is>
      </c>
      <c r="B346" s="25" t="inlineStr">
        <is>
          <t>21-Apr-2025</t>
        </is>
      </c>
      <c r="C346" s="25" t="inlineStr">
        <is>
          <t>North</t>
        </is>
      </c>
      <c r="D346" s="25" t="inlineStr">
        <is>
          <t>Office Supplies</t>
        </is>
      </c>
      <c r="E346" s="25" t="inlineStr">
        <is>
          <t>Notebook Set</t>
        </is>
      </c>
      <c r="F346" s="25" t="n">
        <v>1</v>
      </c>
      <c r="G346" s="25" t="n">
        <v>450</v>
      </c>
      <c r="H346" s="28" t="n">
        <v>0.1</v>
      </c>
      <c r="I346" s="25" t="n">
        <v>190</v>
      </c>
    </row>
    <row r="347">
      <c r="A347" s="25" t="inlineStr">
        <is>
          <t>ORD-11041</t>
        </is>
      </c>
      <c r="B347" s="26" t="n">
        <v>45669</v>
      </c>
      <c r="C347" s="25" t="inlineStr">
        <is>
          <t>East</t>
        </is>
      </c>
      <c r="D347" s="25" t="inlineStr">
        <is>
          <t>Furniture</t>
        </is>
      </c>
      <c r="E347" s="25" t="inlineStr">
        <is>
          <t>Standing Desk</t>
        </is>
      </c>
      <c r="F347" s="25" t="n">
        <v>2</v>
      </c>
      <c r="G347" s="25" t="n">
        <v>19500</v>
      </c>
      <c r="H347" s="28" t="n">
        <v>0.1</v>
      </c>
      <c r="I347" s="25" t="n">
        <v>13800</v>
      </c>
    </row>
    <row r="348">
      <c r="A348" s="25" t="inlineStr">
        <is>
          <t>ORD-11199</t>
        </is>
      </c>
      <c r="B348" s="26" t="n">
        <v>45728</v>
      </c>
      <c r="C348" s="25" t="inlineStr">
        <is>
          <t>West</t>
        </is>
      </c>
      <c r="D348" s="25" t="inlineStr">
        <is>
          <t>Furniture</t>
        </is>
      </c>
      <c r="E348" s="25" t="inlineStr">
        <is>
          <t>Office Chair</t>
        </is>
      </c>
      <c r="F348" s="25" t="n">
        <v>1</v>
      </c>
      <c r="G348" s="25" t="n">
        <v>8500</v>
      </c>
      <c r="H348" s="28" t="n">
        <v>0</v>
      </c>
      <c r="I348" s="25" t="n">
        <v>5600</v>
      </c>
    </row>
    <row r="349">
      <c r="A349" s="25" t="inlineStr">
        <is>
          <t>ORD-10879</t>
        </is>
      </c>
      <c r="B349" s="26" t="n">
        <v>45997</v>
      </c>
      <c r="C349" s="25" t="inlineStr">
        <is>
          <t>South</t>
        </is>
      </c>
      <c r="D349" s="25" t="inlineStr">
        <is>
          <t>Office Supplies</t>
        </is>
      </c>
      <c r="E349" s="25" t="inlineStr">
        <is>
          <t>Notebook Set</t>
        </is>
      </c>
      <c r="F349" s="25" t="n">
        <v>2</v>
      </c>
      <c r="G349" s="25" t="n">
        <v>450</v>
      </c>
      <c r="H349" s="28" t="n">
        <v>0.1</v>
      </c>
      <c r="I349" s="25" t="n">
        <v>190</v>
      </c>
    </row>
    <row r="350">
      <c r="A350" s="25" t="inlineStr">
        <is>
          <t>ORD-10756</t>
        </is>
      </c>
      <c r="B350" s="25" t="inlineStr">
        <is>
          <t>21-Nov-2025</t>
        </is>
      </c>
      <c r="C350" s="25" t="inlineStr">
        <is>
          <t>South</t>
        </is>
      </c>
      <c r="D350" s="25" t="inlineStr">
        <is>
          <t>Office Supplies</t>
        </is>
      </c>
      <c r="E350" s="25" t="inlineStr">
        <is>
          <t>Desk Organizer</t>
        </is>
      </c>
      <c r="F350" s="25" t="n">
        <v>2</v>
      </c>
      <c r="G350" s="25" t="n">
        <v>850</v>
      </c>
      <c r="H350" s="28" t="n">
        <v>0</v>
      </c>
      <c r="I350" s="25" t="n">
        <v>420</v>
      </c>
    </row>
    <row r="351">
      <c r="A351" s="25" t="inlineStr">
        <is>
          <t>ORD-10249</t>
        </is>
      </c>
      <c r="B351" s="25" t="inlineStr">
        <is>
          <t>28-Sep-2025</t>
        </is>
      </c>
      <c r="C351" s="25" t="inlineStr">
        <is>
          <t>west</t>
        </is>
      </c>
      <c r="D351" s="25" t="inlineStr">
        <is>
          <t>Furniture</t>
        </is>
      </c>
      <c r="E351" s="25" t="inlineStr">
        <is>
          <t>Standing Desk</t>
        </is>
      </c>
      <c r="F351" s="25" t="n">
        <v>2</v>
      </c>
      <c r="G351" s="25" t="n">
        <v>19500</v>
      </c>
      <c r="H351" s="28" t="n">
        <v>0.15</v>
      </c>
      <c r="I351" s="25" t="n">
        <v>13800</v>
      </c>
    </row>
    <row r="352">
      <c r="A352" s="25" t="inlineStr">
        <is>
          <t>ORD-10860</t>
        </is>
      </c>
      <c r="B352" s="26" t="n">
        <v>46003</v>
      </c>
      <c r="C352" s="25" t="inlineStr">
        <is>
          <t>East</t>
        </is>
      </c>
      <c r="D352" s="25" t="inlineStr">
        <is>
          <t>Technology</t>
        </is>
      </c>
      <c r="E352" s="25" t="inlineStr">
        <is>
          <t>Wireless Mouse</t>
        </is>
      </c>
      <c r="F352" s="25" t="n">
        <v>5</v>
      </c>
      <c r="G352" s="25" t="n">
        <v>1200</v>
      </c>
      <c r="H352" s="28" t="n">
        <v>0</v>
      </c>
      <c r="I352" s="25" t="n">
        <v>650</v>
      </c>
    </row>
    <row r="353">
      <c r="A353" s="25" t="inlineStr">
        <is>
          <t>ORD-10133</t>
        </is>
      </c>
      <c r="B353" s="26" t="n">
        <v>45994</v>
      </c>
      <c r="C353" s="25" t="inlineStr">
        <is>
          <t>South</t>
        </is>
      </c>
      <c r="D353" s="25" t="inlineStr">
        <is>
          <t>Office Supplies</t>
        </is>
      </c>
      <c r="E353" s="25" t="inlineStr">
        <is>
          <t>Desk Organizer</t>
        </is>
      </c>
      <c r="F353" s="25" t="n">
        <v>3</v>
      </c>
      <c r="G353" s="25" t="n">
        <v>850</v>
      </c>
      <c r="H353" s="28" t="n">
        <v>0</v>
      </c>
      <c r="I353" s="25" t="n">
        <v>420</v>
      </c>
    </row>
    <row r="354">
      <c r="A354" s="25" t="inlineStr">
        <is>
          <t>ORD-10191</t>
        </is>
      </c>
      <c r="B354" s="25" t="inlineStr">
        <is>
          <t>11-Feb-2025</t>
        </is>
      </c>
      <c r="C354" s="25" t="inlineStr">
        <is>
          <t>South</t>
        </is>
      </c>
      <c r="D354" s="25" t="inlineStr">
        <is>
          <t>Office Supplies</t>
        </is>
      </c>
      <c r="E354" s="25" t="inlineStr">
        <is>
          <t>Desk Organizer</t>
        </is>
      </c>
      <c r="F354" s="25" t="n">
        <v>2</v>
      </c>
      <c r="G354" s="25" t="n">
        <v>850</v>
      </c>
      <c r="H354" s="28" t="n">
        <v>0</v>
      </c>
      <c r="I354" s="25" t="n">
        <v>420</v>
      </c>
    </row>
    <row r="355">
      <c r="A355" s="25" t="inlineStr">
        <is>
          <t>ORD-11167</t>
        </is>
      </c>
      <c r="B355" s="26" t="n">
        <v>45922</v>
      </c>
      <c r="C355" s="25" t="inlineStr">
        <is>
          <t>East</t>
        </is>
      </c>
      <c r="D355" s="25" t="inlineStr">
        <is>
          <t>Office Supplies</t>
        </is>
      </c>
      <c r="E355" s="25" t="inlineStr">
        <is>
          <t>Desk Organizer</t>
        </is>
      </c>
      <c r="F355" s="25" t="n">
        <v>3</v>
      </c>
      <c r="G355" s="25" t="n">
        <v>850</v>
      </c>
      <c r="H355" s="28" t="n">
        <v>0.2</v>
      </c>
      <c r="I355" s="25" t="n">
        <v>420</v>
      </c>
    </row>
    <row r="356">
      <c r="A356" s="25" t="inlineStr">
        <is>
          <t>ORD-11066</t>
        </is>
      </c>
      <c r="B356" s="26" t="n">
        <v>45734</v>
      </c>
      <c r="C356" s="25" t="inlineStr">
        <is>
          <t>West</t>
        </is>
      </c>
      <c r="D356" s="25" t="inlineStr">
        <is>
          <t>Furniture</t>
        </is>
      </c>
      <c r="E356" s="25" t="inlineStr">
        <is>
          <t>Office Chair</t>
        </is>
      </c>
      <c r="F356" s="25" t="n">
        <v>1</v>
      </c>
      <c r="G356" s="25" t="n">
        <v>8500</v>
      </c>
      <c r="H356" s="28" t="n">
        <v>0.1</v>
      </c>
      <c r="I356" s="25" t="n">
        <v>5600</v>
      </c>
    </row>
    <row r="357">
      <c r="A357" s="25" t="inlineStr">
        <is>
          <t>ORD-10229</t>
        </is>
      </c>
      <c r="B357" s="25" t="inlineStr">
        <is>
          <t>27-Jan-2025</t>
        </is>
      </c>
      <c r="C357" s="25" t="inlineStr">
        <is>
          <t>West</t>
        </is>
      </c>
      <c r="D357" s="25" t="inlineStr">
        <is>
          <t>Office Supplies</t>
        </is>
      </c>
      <c r="E357" s="25" t="inlineStr">
        <is>
          <t>Notebook Set</t>
        </is>
      </c>
      <c r="F357" s="25" t="n">
        <v>2</v>
      </c>
      <c r="G357" s="25" t="n">
        <v>450</v>
      </c>
      <c r="H357" s="28" t="n">
        <v>0.2</v>
      </c>
      <c r="I357" s="25" t="n">
        <v>190</v>
      </c>
    </row>
    <row r="358">
      <c r="A358" s="25" t="inlineStr">
        <is>
          <t>ORD-10288</t>
        </is>
      </c>
      <c r="B358" s="26" t="n">
        <v>45963</v>
      </c>
      <c r="C358" s="25" t="inlineStr">
        <is>
          <t>west</t>
        </is>
      </c>
      <c r="D358" s="25" t="inlineStr">
        <is>
          <t>Accessories</t>
        </is>
      </c>
      <c r="E358" s="25" t="inlineStr">
        <is>
          <t>Headphones</t>
        </is>
      </c>
      <c r="F358" s="25" t="n">
        <v>1</v>
      </c>
      <c r="G358" s="25" t="n">
        <v>4500</v>
      </c>
      <c r="H358" s="28" t="n">
        <v>0.05</v>
      </c>
      <c r="I358" s="25" t="n">
        <v>2600</v>
      </c>
    </row>
    <row r="359">
      <c r="A359" s="25" t="inlineStr">
        <is>
          <t>ORD-10931</t>
        </is>
      </c>
      <c r="B359" s="25" t="inlineStr">
        <is>
          <t>06-Nov-2025</t>
        </is>
      </c>
      <c r="C359" s="25" t="inlineStr">
        <is>
          <t>East</t>
        </is>
      </c>
      <c r="D359" s="25" t="inlineStr">
        <is>
          <t>Office Supplies</t>
        </is>
      </c>
      <c r="E359" s="25" t="inlineStr">
        <is>
          <t>Printer Paper Box</t>
        </is>
      </c>
      <c r="F359" s="25" t="n">
        <v>1</v>
      </c>
      <c r="G359" s="25" t="n">
        <v>1600</v>
      </c>
      <c r="H359" s="28" t="n">
        <v>0.05</v>
      </c>
      <c r="I359" s="25" t="n">
        <v>1050</v>
      </c>
    </row>
    <row r="360">
      <c r="A360" s="25" t="inlineStr">
        <is>
          <t>ORD-11072</t>
        </is>
      </c>
      <c r="B360" s="26" t="n">
        <v>45958</v>
      </c>
      <c r="C360" s="25" t="inlineStr">
        <is>
          <t>West</t>
        </is>
      </c>
      <c r="D360" s="25" t="inlineStr">
        <is>
          <t>Technology</t>
        </is>
      </c>
      <c r="E360" s="25" t="inlineStr">
        <is>
          <t>Mechanical Keyboard</t>
        </is>
      </c>
      <c r="F360" s="25" t="n">
        <v>2</v>
      </c>
      <c r="G360" s="25" t="n">
        <v>4200</v>
      </c>
      <c r="H360" s="28" t="n">
        <v>0</v>
      </c>
      <c r="I360" s="25" t="n">
        <v>2500</v>
      </c>
    </row>
    <row r="361">
      <c r="A361" s="25" t="inlineStr">
        <is>
          <t>ORD-10786</t>
        </is>
      </c>
      <c r="B361" s="26" t="n">
        <v>45905</v>
      </c>
      <c r="C361" s="25" t="inlineStr">
        <is>
          <t>South</t>
        </is>
      </c>
      <c r="D361" s="25" t="inlineStr">
        <is>
          <t>Technology</t>
        </is>
      </c>
      <c r="E361" s="25" t="inlineStr">
        <is>
          <t>Wireless Mouse</t>
        </is>
      </c>
      <c r="F361" s="25" t="n">
        <v>5</v>
      </c>
      <c r="G361" s="25" t="n">
        <v>1200</v>
      </c>
      <c r="H361" s="28" t="n">
        <v>0.1</v>
      </c>
      <c r="I361" s="25" t="n">
        <v>650</v>
      </c>
    </row>
    <row r="362">
      <c r="A362" s="25" t="inlineStr">
        <is>
          <t>ORD-10482</t>
        </is>
      </c>
      <c r="B362" s="25" t="inlineStr">
        <is>
          <t>03-Apr-2025</t>
        </is>
      </c>
      <c r="C362" s="25" t="inlineStr">
        <is>
          <t>South</t>
        </is>
      </c>
      <c r="D362" s="25" t="inlineStr">
        <is>
          <t>Technology</t>
        </is>
      </c>
      <c r="E362" s="25" t="inlineStr">
        <is>
          <t>Monitor 24"</t>
        </is>
      </c>
      <c r="F362" s="25" t="n">
        <v>1</v>
      </c>
      <c r="G362" s="25" t="n">
        <v>11500</v>
      </c>
      <c r="H362" s="28" t="n">
        <v>0</v>
      </c>
      <c r="I362" s="25" t="n">
        <v>8200</v>
      </c>
    </row>
    <row r="363">
      <c r="A363" s="25" t="inlineStr">
        <is>
          <t>ORD-10515</t>
        </is>
      </c>
      <c r="B363" s="26" t="n">
        <v>45785</v>
      </c>
      <c r="C363" s="25" t="inlineStr">
        <is>
          <t>North</t>
        </is>
      </c>
      <c r="D363" s="25" t="inlineStr">
        <is>
          <t>Accessories</t>
        </is>
      </c>
      <c r="E363" s="25" t="inlineStr">
        <is>
          <t>USB-C Hub</t>
        </is>
      </c>
      <c r="F363" s="25" t="n">
        <v>1</v>
      </c>
      <c r="G363" s="25" t="n">
        <v>1800</v>
      </c>
      <c r="H363" s="28" t="n">
        <v>0</v>
      </c>
      <c r="I363" s="25" t="n">
        <v>980</v>
      </c>
    </row>
    <row r="364">
      <c r="A364" s="25" t="inlineStr">
        <is>
          <t>ORD-10404</t>
        </is>
      </c>
      <c r="B364" s="26" t="n">
        <v>46008</v>
      </c>
      <c r="C364" s="25" t="inlineStr">
        <is>
          <t>North</t>
        </is>
      </c>
      <c r="D364" s="25" t="inlineStr">
        <is>
          <t>Accessories</t>
        </is>
      </c>
      <c r="E364" s="25" t="inlineStr">
        <is>
          <t>Headphones</t>
        </is>
      </c>
      <c r="F364" s="25" t="n">
        <v>1</v>
      </c>
      <c r="G364" s="25" t="n">
        <v>4500</v>
      </c>
      <c r="H364" s="28" t="n">
        <v>0.15</v>
      </c>
      <c r="I364" s="25" t="n">
        <v>2600</v>
      </c>
    </row>
    <row r="365">
      <c r="A365" s="25" t="inlineStr">
        <is>
          <t>ORD-10812</t>
        </is>
      </c>
      <c r="B365" s="26" t="n">
        <v>45885</v>
      </c>
      <c r="C365" s="25" t="inlineStr">
        <is>
          <t>North</t>
        </is>
      </c>
      <c r="D365" s="25" t="inlineStr">
        <is>
          <t>Accessories</t>
        </is>
      </c>
      <c r="E365" s="25" t="inlineStr">
        <is>
          <t>Headphones</t>
        </is>
      </c>
      <c r="F365" s="25" t="n">
        <v>1</v>
      </c>
      <c r="G365" s="25" t="n">
        <v>4500</v>
      </c>
      <c r="H365" s="28" t="n">
        <v>0</v>
      </c>
      <c r="I365" s="25" t="n">
        <v>2600</v>
      </c>
    </row>
    <row r="366">
      <c r="A366" s="25" t="inlineStr">
        <is>
          <t>ORD-10103</t>
        </is>
      </c>
      <c r="B366" s="26" t="n">
        <v>45913</v>
      </c>
      <c r="C366" s="25" t="inlineStr">
        <is>
          <t>NORTH</t>
        </is>
      </c>
      <c r="D366" s="25" t="inlineStr">
        <is>
          <t>Furniture</t>
        </is>
      </c>
      <c r="E366" s="25" t="inlineStr">
        <is>
          <t>Office Chair</t>
        </is>
      </c>
      <c r="F366" s="25" t="n">
        <v>2</v>
      </c>
      <c r="G366" s="25" t="n">
        <v>8500</v>
      </c>
      <c r="H366" s="28" t="n">
        <v>0</v>
      </c>
      <c r="I366" s="25" t="n">
        <v>5600</v>
      </c>
    </row>
    <row r="367">
      <c r="A367" s="25" t="inlineStr">
        <is>
          <t>ORD-10307</t>
        </is>
      </c>
      <c r="B367" s="25" t="inlineStr">
        <is>
          <t>09-Sep-2025</t>
        </is>
      </c>
      <c r="C367" s="25" t="inlineStr">
        <is>
          <t>West</t>
        </is>
      </c>
      <c r="D367" s="25" t="inlineStr">
        <is>
          <t>Furniture</t>
        </is>
      </c>
      <c r="E367" s="25" t="inlineStr">
        <is>
          <t>Standing Desk</t>
        </is>
      </c>
      <c r="F367" s="25" t="n">
        <v>1</v>
      </c>
      <c r="G367" s="25" t="n">
        <v>19500</v>
      </c>
      <c r="H367" s="28" t="n">
        <v>0</v>
      </c>
      <c r="I367" s="25" t="n">
        <v>13800</v>
      </c>
    </row>
    <row r="368">
      <c r="A368" s="25" t="inlineStr">
        <is>
          <t>ORD-11117</t>
        </is>
      </c>
      <c r="B368" s="25" t="inlineStr">
        <is>
          <t>24-Dec-2025</t>
        </is>
      </c>
      <c r="C368" s="25" t="inlineStr">
        <is>
          <t>South</t>
        </is>
      </c>
      <c r="D368" s="25" t="inlineStr">
        <is>
          <t>Accessories</t>
        </is>
      </c>
      <c r="E368" s="25" t="inlineStr">
        <is>
          <t>USB-C Hub</t>
        </is>
      </c>
      <c r="F368" s="25" t="n">
        <v>3</v>
      </c>
      <c r="G368" s="25" t="n">
        <v>1800</v>
      </c>
      <c r="H368" s="28" t="n">
        <v>0</v>
      </c>
      <c r="I368" s="25" t="n">
        <v>980</v>
      </c>
    </row>
    <row r="369">
      <c r="A369" s="25" t="inlineStr">
        <is>
          <t>ORD-11083</t>
        </is>
      </c>
      <c r="B369" s="26" t="n">
        <v>45849</v>
      </c>
      <c r="C369" s="25" t="inlineStr">
        <is>
          <t>west</t>
        </is>
      </c>
      <c r="D369" s="25" t="inlineStr">
        <is>
          <t>Accessories</t>
        </is>
      </c>
      <c r="E369" s="25" t="inlineStr">
        <is>
          <t>Headphones</t>
        </is>
      </c>
      <c r="F369" s="25" t="n">
        <v>3</v>
      </c>
      <c r="G369" s="25" t="n">
        <v>4500</v>
      </c>
      <c r="H369" s="28" t="n">
        <v>0</v>
      </c>
      <c r="I369" s="25" t="n">
        <v>2600</v>
      </c>
    </row>
    <row r="370">
      <c r="A370" s="25" t="inlineStr">
        <is>
          <t>ORD-10883</t>
        </is>
      </c>
      <c r="B370" s="26" t="n">
        <v>45722</v>
      </c>
      <c r="C370" s="25" t="inlineStr">
        <is>
          <t>West</t>
        </is>
      </c>
      <c r="D370" s="25" t="inlineStr">
        <is>
          <t>Technology</t>
        </is>
      </c>
      <c r="E370" s="25" t="inlineStr">
        <is>
          <t>Mechanical Keyboard</t>
        </is>
      </c>
      <c r="F370" s="25" t="n">
        <v>2</v>
      </c>
      <c r="G370" s="25" t="n">
        <v>4200</v>
      </c>
      <c r="H370" s="28" t="n">
        <v>0.2</v>
      </c>
      <c r="I370" s="25" t="n">
        <v>2500</v>
      </c>
    </row>
    <row r="371">
      <c r="A371" s="25" t="inlineStr">
        <is>
          <t>ORD-10481</t>
        </is>
      </c>
      <c r="B371" s="25" t="inlineStr">
        <is>
          <t>26-Feb-2025</t>
        </is>
      </c>
      <c r="C371" s="25" t="inlineStr">
        <is>
          <t>South</t>
        </is>
      </c>
      <c r="D371" s="25" t="inlineStr">
        <is>
          <t>Office Supplies</t>
        </is>
      </c>
      <c r="E371" s="25" t="inlineStr">
        <is>
          <t>Printer Paper Box</t>
        </is>
      </c>
      <c r="F371" s="25" t="n">
        <v>6</v>
      </c>
      <c r="G371" s="25" t="n">
        <v>1600</v>
      </c>
      <c r="H371" s="28" t="n">
        <v>0.15</v>
      </c>
      <c r="I371" s="25" t="n">
        <v>1050</v>
      </c>
    </row>
    <row r="372">
      <c r="A372" s="25" t="inlineStr">
        <is>
          <t>ORD-10749</t>
        </is>
      </c>
      <c r="B372" s="26" t="n">
        <v>45911</v>
      </c>
      <c r="C372" s="25" t="inlineStr">
        <is>
          <t xml:space="preserve">West </t>
        </is>
      </c>
      <c r="D372" s="25" t="inlineStr">
        <is>
          <t>Office Supplies</t>
        </is>
      </c>
      <c r="E372" s="25" t="inlineStr">
        <is>
          <t>Notebook Set</t>
        </is>
      </c>
      <c r="F372" s="25" t="n">
        <v>3</v>
      </c>
      <c r="G372" s="25" t="n">
        <v>450</v>
      </c>
      <c r="H372" s="28" t="n">
        <v>0.2</v>
      </c>
      <c r="I372" s="25" t="n">
        <v>190</v>
      </c>
    </row>
    <row r="373">
      <c r="A373" s="25" t="inlineStr">
        <is>
          <t>ORD-10628</t>
        </is>
      </c>
      <c r="B373" s="26" t="n">
        <v>45931</v>
      </c>
      <c r="C373" s="25" t="inlineStr">
        <is>
          <t>North</t>
        </is>
      </c>
      <c r="D373" s="25" t="inlineStr">
        <is>
          <t>Office Supplies</t>
        </is>
      </c>
      <c r="E373" s="25" t="inlineStr">
        <is>
          <t>Notebook Set</t>
        </is>
      </c>
      <c r="F373" s="25" t="n">
        <v>1</v>
      </c>
      <c r="G373" s="25" t="n">
        <v>450</v>
      </c>
      <c r="H373" s="28" t="n">
        <v>0.15</v>
      </c>
      <c r="I373" s="25" t="n">
        <v>190</v>
      </c>
    </row>
    <row r="374">
      <c r="A374" s="25" t="inlineStr">
        <is>
          <t>ORD-10135</t>
        </is>
      </c>
      <c r="B374" s="25" t="inlineStr">
        <is>
          <t>08-Jun-2025</t>
        </is>
      </c>
      <c r="C374" s="25" t="inlineStr">
        <is>
          <t>East</t>
        </is>
      </c>
      <c r="D374" s="25" t="inlineStr">
        <is>
          <t>Technology</t>
        </is>
      </c>
      <c r="E374" s="25" t="inlineStr">
        <is>
          <t>Mechanical Keyboard</t>
        </is>
      </c>
      <c r="F374" s="25" t="n">
        <v>2</v>
      </c>
      <c r="G374" s="25" t="n">
        <v>4200</v>
      </c>
      <c r="H374" s="28" t="n">
        <v>0</v>
      </c>
      <c r="I374" s="25" t="n">
        <v>2500</v>
      </c>
    </row>
    <row r="375">
      <c r="A375" s="25" t="inlineStr">
        <is>
          <t>ORD-10721</t>
        </is>
      </c>
      <c r="B375" s="26" t="n">
        <v>45994</v>
      </c>
      <c r="C375" s="25" t="inlineStr">
        <is>
          <t>West</t>
        </is>
      </c>
      <c r="D375" s="25" t="inlineStr">
        <is>
          <t>Furniture</t>
        </is>
      </c>
      <c r="E375" s="25" t="inlineStr">
        <is>
          <t>Bookshelf</t>
        </is>
      </c>
      <c r="F375" s="25" t="n">
        <v>3</v>
      </c>
      <c r="G375" s="25" t="n">
        <v>6200</v>
      </c>
      <c r="H375" s="28" t="n">
        <v>0</v>
      </c>
      <c r="I375" s="25" t="n">
        <v>4100</v>
      </c>
    </row>
    <row r="376">
      <c r="A376" s="25" t="inlineStr">
        <is>
          <t>ORD-10516</t>
        </is>
      </c>
      <c r="B376" s="26" t="n">
        <v>45672</v>
      </c>
      <c r="C376" s="25" t="inlineStr">
        <is>
          <t>North</t>
        </is>
      </c>
      <c r="D376" s="25" t="inlineStr">
        <is>
          <t>Office Supplies</t>
        </is>
      </c>
      <c r="E376" s="25" t="inlineStr">
        <is>
          <t>Printer Paper Box</t>
        </is>
      </c>
      <c r="F376" s="25" t="n">
        <v>3</v>
      </c>
      <c r="G376" s="25" t="n">
        <v>1600</v>
      </c>
      <c r="H376" s="28" t="n">
        <v>0.15</v>
      </c>
      <c r="I376" s="25" t="n">
        <v>1050</v>
      </c>
    </row>
    <row r="377">
      <c r="A377" s="25" t="inlineStr">
        <is>
          <t>ORD-10391</t>
        </is>
      </c>
      <c r="B377" s="25" t="inlineStr">
        <is>
          <t>26-Oct-2025</t>
        </is>
      </c>
      <c r="C377" s="25" t="inlineStr">
        <is>
          <t>East</t>
        </is>
      </c>
      <c r="D377" s="25" t="inlineStr">
        <is>
          <t>Office Supplies</t>
        </is>
      </c>
      <c r="E377" s="25" t="inlineStr">
        <is>
          <t>Printer Paper Box</t>
        </is>
      </c>
      <c r="F377" s="25" t="n">
        <v>1</v>
      </c>
      <c r="G377" s="25" t="n">
        <v>1600</v>
      </c>
      <c r="H377" s="28" t="n">
        <v>0</v>
      </c>
      <c r="I377" s="25" t="n">
        <v>1050</v>
      </c>
    </row>
    <row r="378">
      <c r="A378" s="25" t="inlineStr">
        <is>
          <t>ORD-10301</t>
        </is>
      </c>
      <c r="B378" s="26" t="n">
        <v>45723</v>
      </c>
      <c r="C378" s="25" t="inlineStr">
        <is>
          <t>East</t>
        </is>
      </c>
      <c r="D378" s="25" t="inlineStr">
        <is>
          <t>Technology</t>
        </is>
      </c>
      <c r="E378" s="25" t="inlineStr">
        <is>
          <t>Mechanical Keyboard</t>
        </is>
      </c>
      <c r="F378" s="25" t="n">
        <v>1</v>
      </c>
      <c r="G378" s="25" t="n">
        <v>4200</v>
      </c>
      <c r="H378" s="28" t="n">
        <v>0</v>
      </c>
      <c r="I378" s="25" t="n">
        <v>2500</v>
      </c>
    </row>
    <row r="379">
      <c r="A379" s="25" t="inlineStr">
        <is>
          <t>ORD-10141</t>
        </is>
      </c>
      <c r="B379" s="26" t="n">
        <v>46018</v>
      </c>
      <c r="C379" s="25" t="inlineStr">
        <is>
          <t>South</t>
        </is>
      </c>
      <c r="D379" s="25" t="inlineStr">
        <is>
          <t>Technology</t>
        </is>
      </c>
      <c r="E379" s="25" t="inlineStr">
        <is>
          <t>Mechanical Keyboard</t>
        </is>
      </c>
      <c r="F379" s="25" t="n">
        <v>2</v>
      </c>
      <c r="G379" s="25" t="n">
        <v>4200</v>
      </c>
      <c r="H379" s="28" t="n">
        <v>0</v>
      </c>
      <c r="I379" s="25" t="n">
        <v>2500</v>
      </c>
    </row>
    <row r="380">
      <c r="A380" s="25" t="inlineStr">
        <is>
          <t>ORD-10597</t>
        </is>
      </c>
      <c r="B380" s="26" t="n">
        <v>45819</v>
      </c>
      <c r="C380" s="25" t="inlineStr">
        <is>
          <t>South</t>
        </is>
      </c>
      <c r="D380" s="25" t="inlineStr">
        <is>
          <t>Office Supplies</t>
        </is>
      </c>
      <c r="E380" s="25" t="inlineStr">
        <is>
          <t>Printer Paper Box</t>
        </is>
      </c>
      <c r="F380" s="25" t="n">
        <v>6</v>
      </c>
      <c r="G380" s="25" t="n">
        <v>1600</v>
      </c>
      <c r="H380" s="28" t="n">
        <v>0.15</v>
      </c>
      <c r="I380" s="25" t="n">
        <v>1050</v>
      </c>
    </row>
    <row r="381">
      <c r="A381" s="25" t="inlineStr">
        <is>
          <t>ORD-10428</t>
        </is>
      </c>
      <c r="B381" s="26" t="n">
        <v>45762</v>
      </c>
      <c r="C381" s="25" t="inlineStr">
        <is>
          <t>North</t>
        </is>
      </c>
      <c r="D381" s="25" t="inlineStr">
        <is>
          <t>Technology</t>
        </is>
      </c>
      <c r="E381" s="25" t="inlineStr">
        <is>
          <t>Wireless Mouse</t>
        </is>
      </c>
      <c r="F381" s="25" t="n">
        <v>1</v>
      </c>
      <c r="G381" s="25" t="n">
        <v>1200</v>
      </c>
      <c r="H381" s="28" t="n">
        <v>0.05</v>
      </c>
      <c r="I381" s="25" t="n">
        <v>650</v>
      </c>
    </row>
    <row r="382">
      <c r="A382" s="25" t="inlineStr">
        <is>
          <t>ORD-10169</t>
        </is>
      </c>
      <c r="B382" s="26" t="n">
        <v>45988</v>
      </c>
      <c r="C382" s="25" t="inlineStr">
        <is>
          <t>West</t>
        </is>
      </c>
      <c r="D382" s="25" t="inlineStr">
        <is>
          <t>Office Supplies</t>
        </is>
      </c>
      <c r="E382" s="25" t="inlineStr">
        <is>
          <t>Desk Organizer</t>
        </is>
      </c>
      <c r="F382" s="25" t="n">
        <v>1</v>
      </c>
      <c r="G382" s="25" t="n">
        <v>850</v>
      </c>
      <c r="H382" s="28" t="n">
        <v>0.05</v>
      </c>
      <c r="I382" s="25" t="n">
        <v>420</v>
      </c>
    </row>
    <row r="383">
      <c r="A383" s="25" t="inlineStr">
        <is>
          <t>ORD-10227</t>
        </is>
      </c>
      <c r="B383" s="25" t="inlineStr">
        <is>
          <t>21-Jul-2025</t>
        </is>
      </c>
      <c r="C383" s="25" t="inlineStr">
        <is>
          <t>EAST</t>
        </is>
      </c>
      <c r="D383" s="25" t="inlineStr">
        <is>
          <t>Accessories</t>
        </is>
      </c>
      <c r="E383" s="25" t="inlineStr">
        <is>
          <t>Webcam</t>
        </is>
      </c>
      <c r="F383" s="25" t="n">
        <v>3</v>
      </c>
      <c r="G383" s="25" t="n">
        <v>3200</v>
      </c>
      <c r="H383" s="28" t="n">
        <v>0</v>
      </c>
      <c r="I383" s="25" t="n">
        <v>1900</v>
      </c>
    </row>
    <row r="384">
      <c r="A384" s="25" t="inlineStr">
        <is>
          <t>ORD-10530</t>
        </is>
      </c>
      <c r="B384" s="25" t="inlineStr">
        <is>
          <t>21-Jul-2025</t>
        </is>
      </c>
      <c r="C384" s="25" t="inlineStr">
        <is>
          <t>North</t>
        </is>
      </c>
      <c r="D384" s="25" t="inlineStr">
        <is>
          <t>Office Supplies</t>
        </is>
      </c>
      <c r="E384" s="25" t="inlineStr">
        <is>
          <t>Printer Paper Box</t>
        </is>
      </c>
      <c r="F384" s="25" t="n">
        <v>3</v>
      </c>
      <c r="G384" s="25" t="n">
        <v>1600</v>
      </c>
      <c r="H384" s="28" t="n">
        <v>0.2</v>
      </c>
      <c r="I384" s="25" t="n">
        <v>1050</v>
      </c>
    </row>
    <row r="385">
      <c r="A385" s="25" t="inlineStr">
        <is>
          <t>ORD-10182</t>
        </is>
      </c>
      <c r="B385" s="25" t="inlineStr">
        <is>
          <t>04-Jul-2025</t>
        </is>
      </c>
      <c r="C385" s="25" t="inlineStr">
        <is>
          <t>SOUTH</t>
        </is>
      </c>
      <c r="D385" s="25" t="inlineStr">
        <is>
          <t>Office Supplies</t>
        </is>
      </c>
      <c r="E385" s="25" t="inlineStr">
        <is>
          <t>Printer Paper Box</t>
        </is>
      </c>
      <c r="F385" s="25" t="n">
        <v>6</v>
      </c>
      <c r="G385" s="25" t="n">
        <v>1600</v>
      </c>
      <c r="H385" s="28" t="n">
        <v>0</v>
      </c>
      <c r="I385" s="25" t="n">
        <v>1050</v>
      </c>
    </row>
    <row r="386">
      <c r="A386" s="25" t="inlineStr">
        <is>
          <t>ORD-10342</t>
        </is>
      </c>
      <c r="B386" s="26" t="n">
        <v>45731</v>
      </c>
      <c r="C386" s="25" t="inlineStr">
        <is>
          <t>North</t>
        </is>
      </c>
      <c r="D386" s="25" t="inlineStr">
        <is>
          <t>Office Supplies</t>
        </is>
      </c>
      <c r="E386" s="25" t="inlineStr">
        <is>
          <t>Desk Organizer</t>
        </is>
      </c>
      <c r="F386" s="25" t="n">
        <v>4</v>
      </c>
      <c r="G386" s="25" t="n">
        <v>850</v>
      </c>
      <c r="H386" s="28" t="n">
        <v>0.05</v>
      </c>
      <c r="I386" s="25" t="n">
        <v>420</v>
      </c>
    </row>
    <row r="387">
      <c r="A387" s="25" t="inlineStr">
        <is>
          <t>ORD-10003</t>
        </is>
      </c>
      <c r="B387" s="26" t="n">
        <v>45738</v>
      </c>
      <c r="C387" s="25" t="inlineStr">
        <is>
          <t>East</t>
        </is>
      </c>
      <c r="D387" s="25" t="inlineStr">
        <is>
          <t>Technology</t>
        </is>
      </c>
      <c r="E387" s="25" t="inlineStr">
        <is>
          <t>Wireless Mouse</t>
        </is>
      </c>
      <c r="F387" s="25" t="n">
        <v>5</v>
      </c>
      <c r="G387" s="25" t="n">
        <v>1200</v>
      </c>
      <c r="H387" s="28" t="n">
        <v>0</v>
      </c>
      <c r="I387" s="25" t="n">
        <v>650</v>
      </c>
    </row>
    <row r="388">
      <c r="A388" s="25" t="inlineStr">
        <is>
          <t>ORD-10316</t>
        </is>
      </c>
      <c r="B388" s="26" t="n">
        <v>45951</v>
      </c>
      <c r="C388" s="25" t="inlineStr">
        <is>
          <t>South</t>
        </is>
      </c>
      <c r="D388" s="25" t="inlineStr">
        <is>
          <t>Accessories</t>
        </is>
      </c>
      <c r="E388" s="25" t="inlineStr">
        <is>
          <t>Webcam</t>
        </is>
      </c>
      <c r="F388" s="25" t="n">
        <v>3</v>
      </c>
      <c r="G388" s="25" t="n">
        <v>3200</v>
      </c>
      <c r="H388" s="28" t="n">
        <v>0.1</v>
      </c>
      <c r="I388" s="25" t="n">
        <v>1900</v>
      </c>
    </row>
    <row r="389">
      <c r="A389" s="25" t="inlineStr">
        <is>
          <t>ORD-11024</t>
        </is>
      </c>
      <c r="B389" s="25" t="inlineStr">
        <is>
          <t>24-Feb-2025</t>
        </is>
      </c>
      <c r="C389" s="25" t="inlineStr">
        <is>
          <t>South</t>
        </is>
      </c>
      <c r="D389" s="25" t="inlineStr">
        <is>
          <t>Office Supplies</t>
        </is>
      </c>
      <c r="E389" s="25" t="inlineStr">
        <is>
          <t>Desk Organizer</t>
        </is>
      </c>
      <c r="F389" s="25" t="n">
        <v>2</v>
      </c>
      <c r="G389" s="25" t="n">
        <v>850</v>
      </c>
      <c r="H389" s="28" t="n">
        <v>0.2</v>
      </c>
      <c r="I389" s="25" t="n">
        <v>420</v>
      </c>
    </row>
    <row r="390">
      <c r="A390" s="25" t="inlineStr">
        <is>
          <t>ORD-10862</t>
        </is>
      </c>
      <c r="B390" s="25" t="inlineStr">
        <is>
          <t>02-May-2025</t>
        </is>
      </c>
      <c r="C390" s="25" t="inlineStr">
        <is>
          <t>NORTH</t>
        </is>
      </c>
      <c r="D390" s="25" t="inlineStr">
        <is>
          <t>Furniture</t>
        </is>
      </c>
      <c r="E390" s="25" t="inlineStr">
        <is>
          <t>Bookshelf</t>
        </is>
      </c>
      <c r="F390" s="25" t="n">
        <v>1</v>
      </c>
      <c r="G390" s="25" t="n">
        <v>6200</v>
      </c>
      <c r="H390" s="28" t="n">
        <v>0</v>
      </c>
      <c r="I390" s="25" t="n">
        <v>4100</v>
      </c>
    </row>
    <row r="391">
      <c r="A391" s="25" t="inlineStr">
        <is>
          <t>ORD-10385</t>
        </is>
      </c>
      <c r="B391" s="26" t="n">
        <v>45800</v>
      </c>
      <c r="C391" s="25" t="inlineStr">
        <is>
          <t>East</t>
        </is>
      </c>
      <c r="D391" s="25" t="inlineStr">
        <is>
          <t>Accessories</t>
        </is>
      </c>
      <c r="E391" s="25" t="inlineStr">
        <is>
          <t>USB-C Hub</t>
        </is>
      </c>
      <c r="F391" s="25" t="n">
        <v>1</v>
      </c>
      <c r="G391" s="25" t="n">
        <v>1800</v>
      </c>
      <c r="H391" s="28" t="n">
        <v>0.05</v>
      </c>
      <c r="I391" s="25" t="n">
        <v>980</v>
      </c>
    </row>
    <row r="392">
      <c r="A392" s="25" t="inlineStr">
        <is>
          <t>ORD-10838</t>
        </is>
      </c>
      <c r="B392" s="26" t="n">
        <v>45970</v>
      </c>
      <c r="C392" s="25" t="inlineStr">
        <is>
          <t>West</t>
        </is>
      </c>
      <c r="D392" s="25" t="inlineStr">
        <is>
          <t>Technology</t>
        </is>
      </c>
      <c r="E392" s="25" t="inlineStr">
        <is>
          <t>Mechanical Keyboard</t>
        </is>
      </c>
      <c r="F392" s="25" t="n">
        <v>1</v>
      </c>
      <c r="G392" s="25" t="n">
        <v>4200</v>
      </c>
      <c r="H392" s="28" t="n">
        <v>0</v>
      </c>
      <c r="I392" s="25" t="n">
        <v>2500</v>
      </c>
    </row>
    <row r="393">
      <c r="A393" s="25" t="inlineStr">
        <is>
          <t>ORD-10658</t>
        </is>
      </c>
      <c r="B393" s="26" t="n">
        <v>45848</v>
      </c>
      <c r="C393" s="25" t="inlineStr">
        <is>
          <t>West</t>
        </is>
      </c>
      <c r="D393" s="25" t="inlineStr">
        <is>
          <t>Office Supplies</t>
        </is>
      </c>
      <c r="E393" s="25" t="inlineStr">
        <is>
          <t>Printer Paper Box</t>
        </is>
      </c>
      <c r="F393" s="25" t="n">
        <v>4</v>
      </c>
      <c r="G393" s="25" t="n">
        <v>1600</v>
      </c>
      <c r="H393" s="28" t="n">
        <v>0.1</v>
      </c>
      <c r="I393" s="25" t="n">
        <v>1050</v>
      </c>
    </row>
    <row r="394">
      <c r="A394" s="25" t="inlineStr">
        <is>
          <t>ORD-10236</t>
        </is>
      </c>
      <c r="B394" s="26" t="n">
        <v>45674</v>
      </c>
      <c r="C394" s="25" t="inlineStr">
        <is>
          <t>SOUTH</t>
        </is>
      </c>
      <c r="D394" s="25" t="inlineStr">
        <is>
          <t>Accessories</t>
        </is>
      </c>
      <c r="E394" s="25" t="inlineStr">
        <is>
          <t>Headphones</t>
        </is>
      </c>
      <c r="F394" s="25" t="n">
        <v>2</v>
      </c>
      <c r="G394" s="25" t="n">
        <v>4500</v>
      </c>
      <c r="H394" s="28" t="n">
        <v>0</v>
      </c>
      <c r="I394" s="25" t="n">
        <v>2600</v>
      </c>
    </row>
    <row r="395">
      <c r="A395" s="25" t="inlineStr">
        <is>
          <t>ORD-10350</t>
        </is>
      </c>
      <c r="B395" s="26" t="n">
        <v>45724</v>
      </c>
      <c r="C395" s="25" t="inlineStr">
        <is>
          <t xml:space="preserve">South </t>
        </is>
      </c>
      <c r="D395" s="25" t="inlineStr">
        <is>
          <t>Office Supplies</t>
        </is>
      </c>
      <c r="E395" s="25" t="inlineStr">
        <is>
          <t>Notebook Set</t>
        </is>
      </c>
      <c r="F395" s="25" t="n">
        <v>6</v>
      </c>
      <c r="G395" s="25" t="n">
        <v>450</v>
      </c>
      <c r="H395" s="28" t="n">
        <v>0</v>
      </c>
      <c r="I395" s="25" t="n">
        <v>190</v>
      </c>
    </row>
    <row r="396">
      <c r="A396" s="25" t="inlineStr">
        <is>
          <t>ORD-10281</t>
        </is>
      </c>
      <c r="B396" s="25" t="inlineStr">
        <is>
          <t>26-Oct-2025</t>
        </is>
      </c>
      <c r="C396" s="25" t="inlineStr">
        <is>
          <t>North</t>
        </is>
      </c>
      <c r="D396" s="25" t="inlineStr">
        <is>
          <t>Technology</t>
        </is>
      </c>
      <c r="E396" s="25" t="inlineStr">
        <is>
          <t>Wireless Mouse</t>
        </is>
      </c>
      <c r="F396" s="25" t="n">
        <v>5</v>
      </c>
      <c r="G396" s="25" t="n">
        <v>1200</v>
      </c>
      <c r="H396" s="28" t="n">
        <v>0.1</v>
      </c>
      <c r="I396" s="25" t="n">
        <v>650</v>
      </c>
    </row>
    <row r="397">
      <c r="A397" s="25" t="inlineStr">
        <is>
          <t>ORD-10466</t>
        </is>
      </c>
      <c r="B397" s="26" t="n">
        <v>45727</v>
      </c>
      <c r="C397" s="25" t="inlineStr">
        <is>
          <t>SOUTH</t>
        </is>
      </c>
      <c r="D397" s="25" t="inlineStr">
        <is>
          <t>Accessories</t>
        </is>
      </c>
      <c r="E397" s="25" t="inlineStr">
        <is>
          <t>USB-C Hub</t>
        </is>
      </c>
      <c r="F397" s="25" t="n">
        <v>1</v>
      </c>
      <c r="G397" s="25" t="n">
        <v>1800</v>
      </c>
      <c r="H397" s="28" t="n">
        <v>0.2</v>
      </c>
      <c r="I397" s="25" t="n">
        <v>980</v>
      </c>
    </row>
    <row r="398">
      <c r="A398" s="25" t="inlineStr">
        <is>
          <t>ORD-10470</t>
        </is>
      </c>
      <c r="B398" s="26" t="n">
        <v>45705</v>
      </c>
      <c r="C398" s="25" t="inlineStr">
        <is>
          <t>North</t>
        </is>
      </c>
      <c r="D398" s="25" t="inlineStr">
        <is>
          <t>Office Supplies</t>
        </is>
      </c>
      <c r="E398" s="25" t="inlineStr">
        <is>
          <t>Printer Paper Box</t>
        </is>
      </c>
      <c r="F398" s="25" t="n">
        <v>2</v>
      </c>
      <c r="G398" s="25" t="n">
        <v>1600</v>
      </c>
      <c r="H398" s="28" t="n">
        <v>0.05</v>
      </c>
      <c r="I398" s="25" t="n">
        <v>1050</v>
      </c>
    </row>
    <row r="399">
      <c r="A399" s="25" t="inlineStr">
        <is>
          <t>ORD-10314</t>
        </is>
      </c>
      <c r="B399" s="26" t="n">
        <v>45853</v>
      </c>
      <c r="C399" s="25" t="inlineStr">
        <is>
          <t>South</t>
        </is>
      </c>
      <c r="D399" s="25" t="inlineStr">
        <is>
          <t>Office Supplies</t>
        </is>
      </c>
      <c r="E399" s="25" t="inlineStr">
        <is>
          <t>Desk Organizer</t>
        </is>
      </c>
      <c r="F399" s="25" t="n">
        <v>1</v>
      </c>
      <c r="G399" s="25" t="n">
        <v>850</v>
      </c>
      <c r="H399" s="28" t="n">
        <v>0</v>
      </c>
      <c r="I399" s="25" t="n">
        <v>420</v>
      </c>
    </row>
    <row r="400">
      <c r="A400" s="25" t="inlineStr">
        <is>
          <t>ORD-10163</t>
        </is>
      </c>
      <c r="B400" s="26" t="n">
        <v>46002</v>
      </c>
      <c r="C400" s="25" t="inlineStr">
        <is>
          <t>West</t>
        </is>
      </c>
      <c r="D400" s="25" t="inlineStr">
        <is>
          <t>Office Supplies</t>
        </is>
      </c>
      <c r="E400" s="25" t="inlineStr">
        <is>
          <t>Desk Organizer</t>
        </is>
      </c>
      <c r="F400" s="25" t="n"/>
      <c r="G400" s="25" t="n">
        <v>850</v>
      </c>
      <c r="H400" s="28" t="n">
        <v>0.15</v>
      </c>
      <c r="I400" s="25" t="n">
        <v>420</v>
      </c>
    </row>
    <row r="401">
      <c r="A401" s="25" t="inlineStr">
        <is>
          <t>ORD-11157</t>
        </is>
      </c>
      <c r="B401" s="26" t="n">
        <v>45885</v>
      </c>
      <c r="C401" s="25" t="inlineStr">
        <is>
          <t>East</t>
        </is>
      </c>
      <c r="D401" s="25" t="inlineStr">
        <is>
          <t>Office Supplies</t>
        </is>
      </c>
      <c r="E401" s="25" t="inlineStr">
        <is>
          <t>Desk Organizer</t>
        </is>
      </c>
      <c r="F401" s="25" t="n">
        <v>4</v>
      </c>
      <c r="G401" s="25" t="n">
        <v>850</v>
      </c>
      <c r="H401" s="28" t="n">
        <v>0</v>
      </c>
      <c r="I401" s="25" t="n">
        <v>420</v>
      </c>
    </row>
    <row r="402">
      <c r="A402" s="25" t="inlineStr">
        <is>
          <t>ORD-11140</t>
        </is>
      </c>
      <c r="B402" s="26" t="n">
        <v>45901</v>
      </c>
      <c r="C402" s="25" t="inlineStr">
        <is>
          <t>West</t>
        </is>
      </c>
      <c r="D402" s="25" t="inlineStr">
        <is>
          <t>Furniture</t>
        </is>
      </c>
      <c r="E402" s="25" t="inlineStr">
        <is>
          <t>Standing Desk</t>
        </is>
      </c>
      <c r="F402" s="25" t="n">
        <v>1</v>
      </c>
      <c r="G402" s="25" t="n">
        <v>19500</v>
      </c>
      <c r="H402" s="28" t="n">
        <v>0</v>
      </c>
      <c r="I402" s="25" t="n">
        <v>13800</v>
      </c>
    </row>
    <row r="403">
      <c r="A403" s="25" t="inlineStr">
        <is>
          <t>ORD-11105</t>
        </is>
      </c>
      <c r="B403" s="26" t="n">
        <v>45798</v>
      </c>
      <c r="C403" s="25" t="inlineStr">
        <is>
          <t>West</t>
        </is>
      </c>
      <c r="D403" s="25" t="inlineStr">
        <is>
          <t>Accessories</t>
        </is>
      </c>
      <c r="E403" s="25" t="inlineStr">
        <is>
          <t>Webcam</t>
        </is>
      </c>
      <c r="F403" s="25" t="n">
        <v>3</v>
      </c>
      <c r="G403" s="25" t="n">
        <v>3200</v>
      </c>
      <c r="H403" s="28" t="n">
        <v>0</v>
      </c>
      <c r="I403" s="25" t="n">
        <v>1900</v>
      </c>
    </row>
    <row r="404">
      <c r="A404" s="25" t="inlineStr">
        <is>
          <t>ORD-10621</t>
        </is>
      </c>
      <c r="B404" s="26" t="n">
        <v>45987</v>
      </c>
      <c r="C404" s="25" t="inlineStr">
        <is>
          <t>North</t>
        </is>
      </c>
      <c r="D404" s="25" t="inlineStr">
        <is>
          <t>Accessories</t>
        </is>
      </c>
      <c r="E404" s="25" t="inlineStr">
        <is>
          <t>USB-C Hub</t>
        </is>
      </c>
      <c r="F404" s="25" t="n">
        <v>3</v>
      </c>
      <c r="G404" s="25" t="n">
        <v>1800</v>
      </c>
      <c r="H404" s="28" t="n">
        <v>0</v>
      </c>
      <c r="I404" s="25" t="n">
        <v>980</v>
      </c>
    </row>
    <row r="405">
      <c r="A405" s="25" t="inlineStr">
        <is>
          <t>ORD-10888</t>
        </is>
      </c>
      <c r="B405" s="25" t="inlineStr">
        <is>
          <t>13-Nov-2025</t>
        </is>
      </c>
      <c r="C405" s="25" t="inlineStr">
        <is>
          <t>South</t>
        </is>
      </c>
      <c r="D405" s="25" t="inlineStr">
        <is>
          <t>Technology</t>
        </is>
      </c>
      <c r="E405" s="25" t="inlineStr">
        <is>
          <t>Mechanical Keyboard</t>
        </is>
      </c>
      <c r="F405" s="25" t="n">
        <v>1</v>
      </c>
      <c r="G405" s="25" t="n">
        <v>4200</v>
      </c>
      <c r="H405" s="28" t="n">
        <v>0</v>
      </c>
      <c r="I405" s="25" t="n">
        <v>2500</v>
      </c>
    </row>
    <row r="406">
      <c r="A406" s="25" t="inlineStr">
        <is>
          <t>ORD-10257</t>
        </is>
      </c>
      <c r="B406" s="26" t="n">
        <v>46017</v>
      </c>
      <c r="C406" s="25" t="inlineStr">
        <is>
          <t>North</t>
        </is>
      </c>
      <c r="D406" s="25" t="inlineStr">
        <is>
          <t>Accessories</t>
        </is>
      </c>
      <c r="E406" s="25" t="inlineStr">
        <is>
          <t>Webcam</t>
        </is>
      </c>
      <c r="F406" s="25" t="n">
        <v>1</v>
      </c>
      <c r="G406" s="25" t="n">
        <v>3200</v>
      </c>
      <c r="H406" s="28" t="n">
        <v>0</v>
      </c>
      <c r="I406" s="25" t="n">
        <v>1900</v>
      </c>
    </row>
    <row r="407">
      <c r="A407" s="25" t="inlineStr">
        <is>
          <t>ORD-10064</t>
        </is>
      </c>
      <c r="B407" s="26" t="n">
        <v>45985</v>
      </c>
      <c r="C407" s="25" t="inlineStr">
        <is>
          <t>North</t>
        </is>
      </c>
      <c r="D407" s="25" t="inlineStr">
        <is>
          <t>Accessories</t>
        </is>
      </c>
      <c r="E407" s="25" t="inlineStr">
        <is>
          <t>Webcam</t>
        </is>
      </c>
      <c r="F407" s="25" t="n">
        <v>3</v>
      </c>
      <c r="G407" s="25" t="n">
        <v>3200</v>
      </c>
      <c r="H407" s="28" t="n">
        <v>0.2</v>
      </c>
      <c r="I407" s="25" t="n">
        <v>1900</v>
      </c>
    </row>
    <row r="408">
      <c r="A408" s="25" t="inlineStr">
        <is>
          <t>ORD-10208</t>
        </is>
      </c>
      <c r="B408" s="25" t="inlineStr">
        <is>
          <t>26-Sep-2025</t>
        </is>
      </c>
      <c r="C408" s="25" t="inlineStr">
        <is>
          <t>South</t>
        </is>
      </c>
      <c r="D408" s="25" t="inlineStr">
        <is>
          <t>Office Supplies</t>
        </is>
      </c>
      <c r="E408" s="25" t="inlineStr">
        <is>
          <t>Notebook Set</t>
        </is>
      </c>
      <c r="F408" s="25" t="n">
        <v>5</v>
      </c>
      <c r="G408" s="25" t="n">
        <v>450</v>
      </c>
      <c r="H408" s="28" t="n">
        <v>0.05</v>
      </c>
      <c r="I408" s="25" t="n">
        <v>190</v>
      </c>
    </row>
    <row r="409">
      <c r="A409" s="25" t="inlineStr">
        <is>
          <t>ORD-10408</t>
        </is>
      </c>
      <c r="B409" s="26" t="n">
        <v>45962</v>
      </c>
      <c r="C409" s="25" t="inlineStr">
        <is>
          <t>West</t>
        </is>
      </c>
      <c r="D409" s="25" t="inlineStr">
        <is>
          <t>Office Supplies</t>
        </is>
      </c>
      <c r="E409" s="25" t="inlineStr">
        <is>
          <t>Notebook Set</t>
        </is>
      </c>
      <c r="F409" s="25" t="n">
        <v>6</v>
      </c>
      <c r="G409" s="25" t="n">
        <v>450</v>
      </c>
      <c r="H409" s="28" t="n">
        <v>0</v>
      </c>
      <c r="I409" s="25" t="n">
        <v>190</v>
      </c>
    </row>
    <row r="410">
      <c r="A410" s="25" t="inlineStr">
        <is>
          <t>ORD-10567</t>
        </is>
      </c>
      <c r="B410" s="26" t="n">
        <v>45692</v>
      </c>
      <c r="C410" s="25" t="inlineStr">
        <is>
          <t>East</t>
        </is>
      </c>
      <c r="D410" s="25" t="inlineStr">
        <is>
          <t>Technology</t>
        </is>
      </c>
      <c r="E410" s="25" t="inlineStr">
        <is>
          <t>Wireless Mouse</t>
        </is>
      </c>
      <c r="F410" s="25" t="n">
        <v>1</v>
      </c>
      <c r="G410" s="25" t="n">
        <v>1200</v>
      </c>
      <c r="H410" s="28" t="n">
        <v>0</v>
      </c>
      <c r="I410" s="25" t="n">
        <v>650</v>
      </c>
    </row>
    <row r="411">
      <c r="A411" s="25" t="inlineStr">
        <is>
          <t>ORD-10569</t>
        </is>
      </c>
      <c r="B411" s="25" t="inlineStr">
        <is>
          <t>15-Nov-2025</t>
        </is>
      </c>
      <c r="C411" s="25" t="inlineStr">
        <is>
          <t>East</t>
        </is>
      </c>
      <c r="D411" s="25" t="inlineStr">
        <is>
          <t>Office Supplies</t>
        </is>
      </c>
      <c r="E411" s="25" t="inlineStr">
        <is>
          <t>Notebook Set</t>
        </is>
      </c>
      <c r="F411" s="25" t="n">
        <v>2</v>
      </c>
      <c r="G411" s="25" t="n">
        <v>450</v>
      </c>
      <c r="H411" s="28" t="n">
        <v>0</v>
      </c>
      <c r="I411" s="25" t="n">
        <v>190</v>
      </c>
    </row>
    <row r="412">
      <c r="A412" s="25" t="inlineStr">
        <is>
          <t>ORD-10793</t>
        </is>
      </c>
      <c r="B412" s="26" t="n">
        <v>46003</v>
      </c>
      <c r="C412" s="25" t="inlineStr">
        <is>
          <t>North</t>
        </is>
      </c>
      <c r="D412" s="25" t="inlineStr">
        <is>
          <t>Furniture</t>
        </is>
      </c>
      <c r="E412" s="25" t="inlineStr">
        <is>
          <t>Bookshelf</t>
        </is>
      </c>
      <c r="F412" s="25" t="n">
        <v>3</v>
      </c>
      <c r="G412" s="25" t="n">
        <v>6200</v>
      </c>
      <c r="H412" s="28" t="n">
        <v>0.05</v>
      </c>
      <c r="I412" s="25" t="n">
        <v>4100</v>
      </c>
    </row>
    <row r="413">
      <c r="A413" s="25" t="inlineStr">
        <is>
          <t>ORD-10333</t>
        </is>
      </c>
      <c r="B413" s="26" t="n">
        <v>45710</v>
      </c>
      <c r="C413" s="25" t="inlineStr">
        <is>
          <t>North</t>
        </is>
      </c>
      <c r="D413" s="25" t="inlineStr">
        <is>
          <t>Technology</t>
        </is>
      </c>
      <c r="E413" s="25" t="inlineStr">
        <is>
          <t>Wireless Mouse</t>
        </is>
      </c>
      <c r="F413" s="25" t="n">
        <v>3</v>
      </c>
      <c r="G413" s="25" t="n">
        <v>1200</v>
      </c>
      <c r="H413" s="28" t="n">
        <v>0</v>
      </c>
      <c r="I413" s="25" t="n">
        <v>650</v>
      </c>
    </row>
    <row r="414">
      <c r="A414" s="25" t="inlineStr">
        <is>
          <t>ORD-10047</t>
        </is>
      </c>
      <c r="B414" s="26" t="n">
        <v>45972</v>
      </c>
      <c r="C414" s="25" t="inlineStr">
        <is>
          <t>East</t>
        </is>
      </c>
      <c r="D414" s="25" t="inlineStr">
        <is>
          <t>Office Supplies</t>
        </is>
      </c>
      <c r="E414" s="25" t="inlineStr">
        <is>
          <t>Printer Paper Box</t>
        </is>
      </c>
      <c r="F414" s="25" t="n">
        <v>1</v>
      </c>
      <c r="G414" s="25" t="n">
        <v>1600</v>
      </c>
      <c r="H414" s="28" t="n">
        <v>0</v>
      </c>
      <c r="I414" s="25" t="n">
        <v>1050</v>
      </c>
    </row>
    <row r="415">
      <c r="A415" s="25" t="inlineStr">
        <is>
          <t>ORD-10341</t>
        </is>
      </c>
      <c r="B415" s="25" t="inlineStr">
        <is>
          <t>09-Nov-2025</t>
        </is>
      </c>
      <c r="C415" s="25" t="inlineStr">
        <is>
          <t>South</t>
        </is>
      </c>
      <c r="D415" s="25" t="inlineStr">
        <is>
          <t>Technology</t>
        </is>
      </c>
      <c r="E415" s="25" t="inlineStr">
        <is>
          <t>Mechanical Keyboard</t>
        </is>
      </c>
      <c r="F415" s="25" t="n">
        <v>2</v>
      </c>
      <c r="G415" s="25" t="n">
        <v>4200</v>
      </c>
      <c r="H415" s="28" t="n">
        <v>0.15</v>
      </c>
      <c r="I415" s="25" t="n">
        <v>2500</v>
      </c>
    </row>
    <row r="416">
      <c r="A416" s="25" t="inlineStr">
        <is>
          <t>ORD-10156</t>
        </is>
      </c>
      <c r="B416" s="26" t="n">
        <v>45844</v>
      </c>
      <c r="C416" s="25" t="inlineStr">
        <is>
          <t>West</t>
        </is>
      </c>
      <c r="D416" s="25" t="inlineStr">
        <is>
          <t>Furniture</t>
        </is>
      </c>
      <c r="E416" s="25" t="inlineStr">
        <is>
          <t>Standing Desk</t>
        </is>
      </c>
      <c r="F416" s="25" t="n">
        <v>1</v>
      </c>
      <c r="G416" s="25" t="n">
        <v>19500</v>
      </c>
      <c r="H416" s="28" t="n">
        <v>0</v>
      </c>
      <c r="I416" s="25" t="n">
        <v>13800</v>
      </c>
    </row>
    <row r="417">
      <c r="A417" s="25" t="inlineStr">
        <is>
          <t>ORD-11153</t>
        </is>
      </c>
      <c r="B417" s="26" t="n">
        <v>45999</v>
      </c>
      <c r="C417" s="25" t="inlineStr">
        <is>
          <t>North</t>
        </is>
      </c>
      <c r="D417" s="25" t="inlineStr">
        <is>
          <t>Technology</t>
        </is>
      </c>
      <c r="E417" s="25" t="inlineStr">
        <is>
          <t>Monitor 24"</t>
        </is>
      </c>
      <c r="F417" s="25" t="n">
        <v>1</v>
      </c>
      <c r="G417" s="25" t="n">
        <v>11500</v>
      </c>
      <c r="H417" s="28" t="n">
        <v>0.05</v>
      </c>
      <c r="I417" s="25" t="n">
        <v>8200</v>
      </c>
    </row>
    <row r="418">
      <c r="A418" s="25" t="inlineStr">
        <is>
          <t>ORD-10406</t>
        </is>
      </c>
      <c r="B418" s="26" t="n">
        <v>46005</v>
      </c>
      <c r="C418" s="25" t="inlineStr">
        <is>
          <t>South</t>
        </is>
      </c>
      <c r="D418" s="25" t="inlineStr">
        <is>
          <t>Accessories</t>
        </is>
      </c>
      <c r="E418" s="25" t="inlineStr">
        <is>
          <t>USB-C Hub</t>
        </is>
      </c>
      <c r="F418" s="25" t="n">
        <v>1</v>
      </c>
      <c r="G418" s="25" t="n">
        <v>1800</v>
      </c>
      <c r="H418" s="28" t="n">
        <v>0.15</v>
      </c>
      <c r="I418" s="25" t="n">
        <v>980</v>
      </c>
    </row>
    <row r="419">
      <c r="A419" s="25" t="inlineStr">
        <is>
          <t>ORD-10460</t>
        </is>
      </c>
      <c r="B419" s="25" t="inlineStr">
        <is>
          <t>17-Nov-2025</t>
        </is>
      </c>
      <c r="C419" s="25" t="inlineStr">
        <is>
          <t>West</t>
        </is>
      </c>
      <c r="D419" s="25" t="inlineStr">
        <is>
          <t>Technology</t>
        </is>
      </c>
      <c r="E419" s="25" t="inlineStr">
        <is>
          <t>Wireless Mouse</t>
        </is>
      </c>
      <c r="F419" s="25" t="n">
        <v>2</v>
      </c>
      <c r="G419" s="25" t="n">
        <v>1200</v>
      </c>
      <c r="H419" s="28" t="n">
        <v>0</v>
      </c>
      <c r="I419" s="25" t="n">
        <v>650</v>
      </c>
    </row>
    <row r="420">
      <c r="A420" s="25" t="inlineStr">
        <is>
          <t>ORD-10652</t>
        </is>
      </c>
      <c r="B420" s="26" t="n">
        <v>45672</v>
      </c>
      <c r="C420" s="25" t="inlineStr">
        <is>
          <t>South</t>
        </is>
      </c>
      <c r="D420" s="25" t="inlineStr">
        <is>
          <t>Office Supplies</t>
        </is>
      </c>
      <c r="E420" s="25" t="inlineStr">
        <is>
          <t>Printer Paper Box</t>
        </is>
      </c>
      <c r="F420" s="25" t="n">
        <v>4</v>
      </c>
      <c r="G420" s="25" t="n">
        <v>1600</v>
      </c>
      <c r="H420" s="28" t="n">
        <v>0</v>
      </c>
      <c r="I420" s="25" t="n">
        <v>1050</v>
      </c>
    </row>
    <row r="421">
      <c r="A421" s="25" t="inlineStr">
        <is>
          <t>ORD-10124</t>
        </is>
      </c>
      <c r="B421" s="26" t="n">
        <v>45866</v>
      </c>
      <c r="C421" s="25" t="inlineStr">
        <is>
          <t>North</t>
        </is>
      </c>
      <c r="D421" s="25" t="inlineStr">
        <is>
          <t>Accessories</t>
        </is>
      </c>
      <c r="E421" s="25" t="inlineStr">
        <is>
          <t>Headphones</t>
        </is>
      </c>
      <c r="F421" s="25" t="n">
        <v>1</v>
      </c>
      <c r="G421" s="25" t="n">
        <v>4500</v>
      </c>
      <c r="H421" s="28" t="n">
        <v>0.15</v>
      </c>
      <c r="I421" s="25" t="n">
        <v>2600</v>
      </c>
    </row>
    <row r="422">
      <c r="A422" s="25" t="inlineStr">
        <is>
          <t>ORD-11027</t>
        </is>
      </c>
      <c r="B422" s="25" t="inlineStr">
        <is>
          <t>06-Mar-2025</t>
        </is>
      </c>
      <c r="C422" s="25" t="inlineStr">
        <is>
          <t>WEST</t>
        </is>
      </c>
      <c r="D422" s="25" t="inlineStr">
        <is>
          <t>Accessories</t>
        </is>
      </c>
      <c r="E422" s="25" t="inlineStr">
        <is>
          <t>Headphones</t>
        </is>
      </c>
      <c r="F422" s="25" t="n">
        <v>3</v>
      </c>
      <c r="G422" s="25" t="n">
        <v>4500</v>
      </c>
      <c r="H422" s="28" t="n">
        <v>0.2</v>
      </c>
      <c r="I422" s="25" t="n">
        <v>2600</v>
      </c>
    </row>
    <row r="423">
      <c r="A423" s="25" t="inlineStr">
        <is>
          <t>ORD-10819</t>
        </is>
      </c>
      <c r="B423" s="26" t="n">
        <v>45820</v>
      </c>
      <c r="C423" s="25" t="inlineStr">
        <is>
          <t>east</t>
        </is>
      </c>
      <c r="D423" s="25" t="inlineStr">
        <is>
          <t>Technology</t>
        </is>
      </c>
      <c r="E423" s="25" t="inlineStr">
        <is>
          <t>Wireless Mouse</t>
        </is>
      </c>
      <c r="F423" s="25" t="n">
        <v>4</v>
      </c>
      <c r="G423" s="25" t="n">
        <v>1200</v>
      </c>
      <c r="H423" s="28" t="n">
        <v>0</v>
      </c>
      <c r="I423" s="25" t="n">
        <v>650</v>
      </c>
    </row>
    <row r="424">
      <c r="A424" s="25" t="inlineStr">
        <is>
          <t>ORD-10615</t>
        </is>
      </c>
      <c r="B424" s="26" t="n">
        <v>45993</v>
      </c>
      <c r="C424" s="25" t="inlineStr">
        <is>
          <t>North</t>
        </is>
      </c>
      <c r="D424" s="25" t="inlineStr">
        <is>
          <t>Office Supplies</t>
        </is>
      </c>
      <c r="E424" s="25" t="inlineStr">
        <is>
          <t>Notebook Set</t>
        </is>
      </c>
      <c r="F424" s="25" t="n">
        <v>4</v>
      </c>
      <c r="G424" s="25" t="n">
        <v>450</v>
      </c>
      <c r="H424" s="28" t="n">
        <v>0</v>
      </c>
      <c r="I424" s="25" t="n">
        <v>190</v>
      </c>
    </row>
    <row r="425">
      <c r="A425" s="25" t="inlineStr">
        <is>
          <t>ORD-10458</t>
        </is>
      </c>
      <c r="B425" s="26" t="n">
        <v>45887</v>
      </c>
      <c r="C425" s="25" t="inlineStr">
        <is>
          <t xml:space="preserve">West </t>
        </is>
      </c>
      <c r="D425" s="25" t="inlineStr">
        <is>
          <t>Office Supplies</t>
        </is>
      </c>
      <c r="E425" s="25" t="inlineStr">
        <is>
          <t>Notebook Set</t>
        </is>
      </c>
      <c r="F425" s="25" t="n">
        <v>5</v>
      </c>
      <c r="G425" s="25" t="n">
        <v>450</v>
      </c>
      <c r="H425" s="28" t="n">
        <v>0.05</v>
      </c>
      <c r="I425" s="25" t="n">
        <v>190</v>
      </c>
    </row>
    <row r="426">
      <c r="A426" s="25" t="inlineStr">
        <is>
          <t>ORD-10278</t>
        </is>
      </c>
      <c r="B426" s="26" t="n">
        <v>46000</v>
      </c>
      <c r="C426" s="25" t="inlineStr">
        <is>
          <t>West</t>
        </is>
      </c>
      <c r="D426" s="25" t="inlineStr">
        <is>
          <t>Office Supplies</t>
        </is>
      </c>
      <c r="E426" s="25" t="inlineStr">
        <is>
          <t>Notebook Set</t>
        </is>
      </c>
      <c r="F426" s="25" t="n">
        <v>8</v>
      </c>
      <c r="G426" s="25" t="n">
        <v>450</v>
      </c>
      <c r="H426" s="28" t="n">
        <v>0.05</v>
      </c>
      <c r="I426" s="25" t="n">
        <v>190</v>
      </c>
    </row>
    <row r="427">
      <c r="A427" s="25" t="inlineStr">
        <is>
          <t>ORD-10817</t>
        </is>
      </c>
      <c r="B427" s="26" t="n">
        <v>45932</v>
      </c>
      <c r="C427" s="25" t="inlineStr">
        <is>
          <t xml:space="preserve"> North </t>
        </is>
      </c>
      <c r="D427" s="25" t="inlineStr">
        <is>
          <t>Accessories</t>
        </is>
      </c>
      <c r="E427" s="25" t="inlineStr">
        <is>
          <t>USB-C Hub</t>
        </is>
      </c>
      <c r="F427" s="25" t="n">
        <v>2</v>
      </c>
      <c r="G427" s="25" t="n">
        <v>1800</v>
      </c>
      <c r="H427" s="28" t="n">
        <v>0.05</v>
      </c>
      <c r="I427" s="25" t="n">
        <v>980</v>
      </c>
    </row>
    <row r="428">
      <c r="A428" s="25" t="inlineStr">
        <is>
          <t>ORD-11163</t>
        </is>
      </c>
      <c r="B428" s="26" t="n">
        <v>45985</v>
      </c>
      <c r="C428" s="25" t="inlineStr">
        <is>
          <t>West</t>
        </is>
      </c>
      <c r="D428" s="25" t="inlineStr">
        <is>
          <t>Accessories</t>
        </is>
      </c>
      <c r="E428" s="25" t="inlineStr">
        <is>
          <t>Headphones</t>
        </is>
      </c>
      <c r="F428" s="25" t="n">
        <v>3</v>
      </c>
      <c r="G428" s="25" t="n">
        <v>4500</v>
      </c>
      <c r="H428" s="28" t="n">
        <v>0.05</v>
      </c>
      <c r="I428" s="25" t="n">
        <v>2600</v>
      </c>
    </row>
    <row r="429">
      <c r="A429" s="25" t="inlineStr">
        <is>
          <t>ORD-10459</t>
        </is>
      </c>
      <c r="B429" s="26" t="n">
        <v>45800</v>
      </c>
      <c r="C429" s="25" t="inlineStr">
        <is>
          <t>West</t>
        </is>
      </c>
      <c r="D429" s="25" t="inlineStr">
        <is>
          <t>Accessories</t>
        </is>
      </c>
      <c r="E429" s="25" t="inlineStr">
        <is>
          <t>Headphones</t>
        </is>
      </c>
      <c r="F429" s="25" t="n">
        <v>3</v>
      </c>
      <c r="G429" s="25" t="n">
        <v>4500</v>
      </c>
      <c r="H429" s="28" t="n">
        <v>0</v>
      </c>
      <c r="I429" s="25" t="n">
        <v>2600</v>
      </c>
    </row>
    <row r="430">
      <c r="A430" s="25" t="inlineStr">
        <is>
          <t>ORD-10753</t>
        </is>
      </c>
      <c r="B430" s="26" t="n">
        <v>45822</v>
      </c>
      <c r="C430" s="25" t="inlineStr">
        <is>
          <t>West</t>
        </is>
      </c>
      <c r="D430" s="25" t="inlineStr">
        <is>
          <t>Office Supplies</t>
        </is>
      </c>
      <c r="E430" s="25" t="inlineStr">
        <is>
          <t>Notebook Set</t>
        </is>
      </c>
      <c r="F430" s="25" t="n">
        <v>4</v>
      </c>
      <c r="G430" s="25" t="n">
        <v>450</v>
      </c>
      <c r="H430" s="28" t="n">
        <v>0</v>
      </c>
      <c r="I430" s="25" t="n">
        <v>190</v>
      </c>
    </row>
    <row r="431">
      <c r="A431" s="25" t="inlineStr">
        <is>
          <t>ORD-10041</t>
        </is>
      </c>
      <c r="B431" s="26" t="n">
        <v>45988</v>
      </c>
      <c r="C431" s="25" t="inlineStr">
        <is>
          <t>North</t>
        </is>
      </c>
      <c r="D431" s="25" t="inlineStr">
        <is>
          <t>Office Supplies</t>
        </is>
      </c>
      <c r="E431" s="25" t="inlineStr">
        <is>
          <t>Printer Paper Box</t>
        </is>
      </c>
      <c r="F431" s="25" t="n">
        <v>1</v>
      </c>
      <c r="G431" s="25" t="n">
        <v>1600</v>
      </c>
      <c r="H431" s="28" t="n">
        <v>0</v>
      </c>
      <c r="I431" s="25" t="n">
        <v>1050</v>
      </c>
    </row>
    <row r="432">
      <c r="A432" s="25" t="inlineStr">
        <is>
          <t>ORD-10733</t>
        </is>
      </c>
      <c r="B432" s="26" t="n">
        <v>45996</v>
      </c>
      <c r="C432" s="25" t="inlineStr">
        <is>
          <t>West</t>
        </is>
      </c>
      <c r="D432" s="25" t="inlineStr">
        <is>
          <t>Furniture</t>
        </is>
      </c>
      <c r="E432" s="25" t="inlineStr">
        <is>
          <t>Office Chair</t>
        </is>
      </c>
      <c r="F432" s="25" t="n">
        <v>1</v>
      </c>
      <c r="G432" s="25" t="n">
        <v>8500</v>
      </c>
      <c r="H432" s="28" t="n">
        <v>0</v>
      </c>
      <c r="I432" s="25" t="n">
        <v>5600</v>
      </c>
    </row>
    <row r="433">
      <c r="A433" s="25" t="inlineStr">
        <is>
          <t>ORD-11064</t>
        </is>
      </c>
      <c r="B433" s="26" t="n">
        <v>45925</v>
      </c>
      <c r="C433" s="25" t="inlineStr">
        <is>
          <t>East</t>
        </is>
      </c>
      <c r="D433" s="25" t="inlineStr">
        <is>
          <t>Technology</t>
        </is>
      </c>
      <c r="E433" s="25" t="inlineStr">
        <is>
          <t>Wireless Mouse</t>
        </is>
      </c>
      <c r="F433" s="25" t="n">
        <v>2</v>
      </c>
      <c r="G433" s="25" t="n">
        <v>1200</v>
      </c>
      <c r="H433" s="28" t="n">
        <v>0.05</v>
      </c>
      <c r="I433" s="25" t="n">
        <v>650</v>
      </c>
    </row>
    <row r="434">
      <c r="A434" s="25" t="inlineStr">
        <is>
          <t>ORD-10825</t>
        </is>
      </c>
      <c r="B434" s="25" t="inlineStr">
        <is>
          <t>05-Nov-2025</t>
        </is>
      </c>
      <c r="C434" s="25" t="inlineStr">
        <is>
          <t>North</t>
        </is>
      </c>
      <c r="D434" s="25" t="inlineStr">
        <is>
          <t>Office Supplies</t>
        </is>
      </c>
      <c r="E434" s="25" t="inlineStr">
        <is>
          <t>Desk Organizer</t>
        </is>
      </c>
      <c r="F434" s="25" t="n">
        <v>5</v>
      </c>
      <c r="G434" s="25" t="n">
        <v>850</v>
      </c>
      <c r="H434" s="28" t="n">
        <v>0</v>
      </c>
      <c r="I434" s="25" t="n">
        <v>420</v>
      </c>
    </row>
    <row r="435">
      <c r="A435" s="25" t="inlineStr">
        <is>
          <t>ORD-10910</t>
        </is>
      </c>
      <c r="B435" s="26" t="n">
        <v>45925</v>
      </c>
      <c r="C435" s="25" t="inlineStr">
        <is>
          <t xml:space="preserve">West </t>
        </is>
      </c>
      <c r="D435" s="25" t="inlineStr">
        <is>
          <t>Technology</t>
        </is>
      </c>
      <c r="E435" s="25" t="inlineStr">
        <is>
          <t>Monitor 24"</t>
        </is>
      </c>
      <c r="F435" s="25" t="n">
        <v>2</v>
      </c>
      <c r="G435" s="25" t="n">
        <v>11500</v>
      </c>
      <c r="H435" s="28" t="n">
        <v>0</v>
      </c>
      <c r="I435" s="25" t="n">
        <v>8200</v>
      </c>
    </row>
    <row r="436">
      <c r="A436" s="25" t="inlineStr">
        <is>
          <t>ORD-10396</t>
        </is>
      </c>
      <c r="B436" s="25" t="inlineStr">
        <is>
          <t>26-Mar-2025</t>
        </is>
      </c>
      <c r="C436" s="25" t="inlineStr">
        <is>
          <t>South</t>
        </is>
      </c>
      <c r="D436" s="25" t="inlineStr">
        <is>
          <t>Office Supplies</t>
        </is>
      </c>
      <c r="E436" s="25" t="inlineStr">
        <is>
          <t>Printer Paper Box</t>
        </is>
      </c>
      <c r="F436" s="25" t="n">
        <v>4</v>
      </c>
      <c r="G436" s="25" t="n">
        <v>1600</v>
      </c>
      <c r="H436" s="28" t="n">
        <v>0</v>
      </c>
      <c r="I436" s="25" t="n">
        <v>1050</v>
      </c>
    </row>
    <row r="437">
      <c r="A437" s="25" t="inlineStr">
        <is>
          <t>ORD-10620</t>
        </is>
      </c>
      <c r="B437" s="26" t="n">
        <v>46007</v>
      </c>
      <c r="C437" s="25" t="inlineStr">
        <is>
          <t>North</t>
        </is>
      </c>
      <c r="D437" s="25" t="inlineStr">
        <is>
          <t>Technology</t>
        </is>
      </c>
      <c r="E437" s="25" t="inlineStr">
        <is>
          <t>Wireless Mouse</t>
        </is>
      </c>
      <c r="F437" s="25" t="n">
        <v>4</v>
      </c>
      <c r="G437" s="25" t="n"/>
      <c r="H437" s="28" t="n">
        <v>0.2</v>
      </c>
      <c r="I437" s="25" t="n">
        <v>650</v>
      </c>
    </row>
    <row r="438">
      <c r="A438" s="25" t="inlineStr">
        <is>
          <t>ORD-10479</t>
        </is>
      </c>
      <c r="B438" s="26" t="n">
        <v>45883</v>
      </c>
      <c r="C438" s="25" t="inlineStr">
        <is>
          <t>West</t>
        </is>
      </c>
      <c r="D438" s="25" t="inlineStr">
        <is>
          <t>Furniture</t>
        </is>
      </c>
      <c r="E438" s="25" t="inlineStr">
        <is>
          <t>Office Chair</t>
        </is>
      </c>
      <c r="F438" s="25" t="n">
        <v>1</v>
      </c>
      <c r="G438" s="25" t="n">
        <v>8500</v>
      </c>
      <c r="H438" s="28" t="n">
        <v>0.2</v>
      </c>
      <c r="I438" s="25" t="n">
        <v>5600</v>
      </c>
    </row>
    <row r="439">
      <c r="A439" s="25" t="inlineStr">
        <is>
          <t>ORD-11187</t>
        </is>
      </c>
      <c r="B439" s="26" t="n">
        <v>45949</v>
      </c>
      <c r="C439" s="25" t="inlineStr">
        <is>
          <t xml:space="preserve">West </t>
        </is>
      </c>
      <c r="D439" s="25" t="inlineStr">
        <is>
          <t>Office Supplies</t>
        </is>
      </c>
      <c r="E439" s="25" t="inlineStr">
        <is>
          <t>Notebook Set</t>
        </is>
      </c>
      <c r="F439" s="25" t="n">
        <v>6</v>
      </c>
      <c r="G439" s="25" t="n">
        <v>450</v>
      </c>
      <c r="H439" s="28" t="n">
        <v>0.15</v>
      </c>
      <c r="I439" s="25" t="n">
        <v>190</v>
      </c>
    </row>
    <row r="440">
      <c r="A440" s="25" t="inlineStr">
        <is>
          <t>ORD-10952</t>
        </is>
      </c>
      <c r="B440" s="26" t="n">
        <v>45984</v>
      </c>
      <c r="C440" s="25" t="inlineStr">
        <is>
          <t>North</t>
        </is>
      </c>
      <c r="D440" s="25" t="inlineStr">
        <is>
          <t>Furniture</t>
        </is>
      </c>
      <c r="E440" s="25" t="inlineStr">
        <is>
          <t>Office Chair</t>
        </is>
      </c>
      <c r="F440" s="25" t="n">
        <v>2</v>
      </c>
      <c r="G440" s="25" t="n">
        <v>8500</v>
      </c>
      <c r="H440" s="28" t="n">
        <v>0</v>
      </c>
      <c r="I440" s="25" t="n">
        <v>5600</v>
      </c>
    </row>
    <row r="441">
      <c r="A441" s="25" t="inlineStr">
        <is>
          <t>ORD-11194</t>
        </is>
      </c>
      <c r="B441" s="26" t="n">
        <v>45832</v>
      </c>
      <c r="C441" s="25" t="inlineStr">
        <is>
          <t>East</t>
        </is>
      </c>
      <c r="D441" s="25" t="inlineStr">
        <is>
          <t>Office Supplies</t>
        </is>
      </c>
      <c r="E441" s="25" t="inlineStr">
        <is>
          <t>Printer Paper Box</t>
        </is>
      </c>
      <c r="F441" s="25" t="n">
        <v>4</v>
      </c>
      <c r="G441" s="25" t="n">
        <v>1600</v>
      </c>
      <c r="H441" s="28" t="n">
        <v>0.15</v>
      </c>
      <c r="I441" s="25" t="n">
        <v>1050</v>
      </c>
    </row>
    <row r="442">
      <c r="A442" s="25" t="inlineStr">
        <is>
          <t>ORD-11042</t>
        </is>
      </c>
      <c r="B442" s="26" t="n">
        <v>45840</v>
      </c>
      <c r="C442" s="25" t="inlineStr">
        <is>
          <t>North</t>
        </is>
      </c>
      <c r="D442" s="25" t="inlineStr">
        <is>
          <t>Accessories</t>
        </is>
      </c>
      <c r="E442" s="25" t="inlineStr">
        <is>
          <t>Webcam</t>
        </is>
      </c>
      <c r="F442" s="25" t="n">
        <v>1</v>
      </c>
      <c r="G442" s="25" t="n">
        <v>3200</v>
      </c>
      <c r="H442" s="28" t="n">
        <v>0.2</v>
      </c>
      <c r="I442" s="25" t="n">
        <v>1900</v>
      </c>
    </row>
    <row r="443">
      <c r="A443" s="25" t="inlineStr">
        <is>
          <t>ORD-11165</t>
        </is>
      </c>
      <c r="B443" s="26" t="n">
        <v>45906</v>
      </c>
      <c r="C443" s="25" t="inlineStr">
        <is>
          <t>East</t>
        </is>
      </c>
      <c r="D443" s="25" t="inlineStr">
        <is>
          <t>Furniture</t>
        </is>
      </c>
      <c r="E443" s="25" t="inlineStr">
        <is>
          <t>Office Chair</t>
        </is>
      </c>
      <c r="F443" s="25" t="n">
        <v>1</v>
      </c>
      <c r="G443" s="25" t="n">
        <v>8500</v>
      </c>
      <c r="H443" s="28" t="n">
        <v>0.15</v>
      </c>
      <c r="I443" s="25" t="n">
        <v>5600</v>
      </c>
    </row>
    <row r="444">
      <c r="A444" s="25" t="inlineStr">
        <is>
          <t>ORD-10455</t>
        </is>
      </c>
      <c r="B444" s="26" t="n">
        <v>45775</v>
      </c>
      <c r="C444" s="25" t="inlineStr">
        <is>
          <t>North</t>
        </is>
      </c>
      <c r="D444" s="25" t="inlineStr">
        <is>
          <t>Technology</t>
        </is>
      </c>
      <c r="E444" s="25" t="inlineStr">
        <is>
          <t>Monitor 24"</t>
        </is>
      </c>
      <c r="F444" s="25" t="n">
        <v>1</v>
      </c>
      <c r="G444" s="25" t="n">
        <v>11500</v>
      </c>
      <c r="H444" s="28" t="n">
        <v>0.2</v>
      </c>
      <c r="I444" s="25" t="n">
        <v>8200</v>
      </c>
    </row>
    <row r="445">
      <c r="A445" s="25" t="inlineStr">
        <is>
          <t>ORD-10540</t>
        </is>
      </c>
      <c r="B445" s="26" t="n">
        <v>45772</v>
      </c>
      <c r="C445" s="25" t="inlineStr">
        <is>
          <t>South</t>
        </is>
      </c>
      <c r="D445" s="25" t="inlineStr">
        <is>
          <t>Accessories</t>
        </is>
      </c>
      <c r="E445" s="25" t="inlineStr">
        <is>
          <t>Headphones</t>
        </is>
      </c>
      <c r="F445" s="25" t="n">
        <v>1</v>
      </c>
      <c r="G445" s="25" t="n">
        <v>4500</v>
      </c>
      <c r="H445" s="28" t="n">
        <v>0</v>
      </c>
      <c r="I445" s="25" t="n">
        <v>2600</v>
      </c>
    </row>
    <row r="446">
      <c r="A446" s="25" t="inlineStr">
        <is>
          <t>ORD-10097</t>
        </is>
      </c>
      <c r="B446" s="26" t="n">
        <v>46017</v>
      </c>
      <c r="C446" s="25" t="inlineStr">
        <is>
          <t>South</t>
        </is>
      </c>
      <c r="D446" s="25" t="inlineStr">
        <is>
          <t>Office Supplies</t>
        </is>
      </c>
      <c r="E446" s="25" t="inlineStr">
        <is>
          <t>Printer Paper Box</t>
        </is>
      </c>
      <c r="F446" s="25" t="n">
        <v>6</v>
      </c>
      <c r="G446" s="25" t="n">
        <v>1600</v>
      </c>
      <c r="H446" s="28" t="n">
        <v>0</v>
      </c>
      <c r="I446" s="25" t="n">
        <v>1050</v>
      </c>
    </row>
    <row r="447">
      <c r="A447" s="25" t="inlineStr">
        <is>
          <t>ORD-10912</t>
        </is>
      </c>
      <c r="B447" s="26" t="n">
        <v>45914</v>
      </c>
      <c r="C447" s="25" t="inlineStr">
        <is>
          <t>North</t>
        </is>
      </c>
      <c r="D447" s="25" t="inlineStr">
        <is>
          <t>Accessories</t>
        </is>
      </c>
      <c r="E447" s="25" t="inlineStr">
        <is>
          <t>USB-C Hub</t>
        </is>
      </c>
      <c r="F447" s="25" t="n">
        <v>1</v>
      </c>
      <c r="G447" s="25" t="n">
        <v>1800</v>
      </c>
      <c r="H447" s="28" t="n">
        <v>0.15</v>
      </c>
      <c r="I447" s="25" t="n">
        <v>980</v>
      </c>
    </row>
    <row r="448">
      <c r="A448" s="25" t="inlineStr">
        <is>
          <t>ORD-10790</t>
        </is>
      </c>
      <c r="B448" s="26" t="n">
        <v>45920</v>
      </c>
      <c r="C448" s="25" t="inlineStr">
        <is>
          <t>East</t>
        </is>
      </c>
      <c r="D448" s="25" t="inlineStr">
        <is>
          <t>Office Supplies</t>
        </is>
      </c>
      <c r="E448" s="25" t="inlineStr">
        <is>
          <t>Printer Paper Box</t>
        </is>
      </c>
      <c r="F448" s="25" t="n">
        <v>1</v>
      </c>
      <c r="G448" s="25" t="n">
        <v>1600</v>
      </c>
      <c r="H448" s="28" t="n">
        <v>0.05</v>
      </c>
      <c r="I448" s="25" t="n">
        <v>1050</v>
      </c>
    </row>
    <row r="449">
      <c r="A449" s="25" t="inlineStr">
        <is>
          <t>ORD-10380</t>
        </is>
      </c>
      <c r="B449" s="26" t="n">
        <v>46013</v>
      </c>
      <c r="C449" s="25" t="inlineStr">
        <is>
          <t xml:space="preserve"> North </t>
        </is>
      </c>
      <c r="D449" s="25" t="inlineStr">
        <is>
          <t>Accessories</t>
        </is>
      </c>
      <c r="E449" s="25" t="inlineStr">
        <is>
          <t>USB-C Hub</t>
        </is>
      </c>
      <c r="F449" s="25" t="n">
        <v>1</v>
      </c>
      <c r="G449" s="25" t="n">
        <v>1800</v>
      </c>
      <c r="H449" s="28" t="n">
        <v>0.1</v>
      </c>
      <c r="I449" s="25" t="n">
        <v>980</v>
      </c>
    </row>
    <row r="450">
      <c r="A450" s="25" t="inlineStr">
        <is>
          <t>ORD-10326</t>
        </is>
      </c>
      <c r="B450" s="25" t="inlineStr">
        <is>
          <t>19-Feb-2025</t>
        </is>
      </c>
      <c r="C450" s="25" t="inlineStr">
        <is>
          <t>South</t>
        </is>
      </c>
      <c r="D450" s="25" t="inlineStr">
        <is>
          <t>Office Supplies</t>
        </is>
      </c>
      <c r="E450" s="25" t="inlineStr">
        <is>
          <t>Notebook Set</t>
        </is>
      </c>
      <c r="F450" s="25" t="n">
        <v>6</v>
      </c>
      <c r="G450" s="25" t="n">
        <v>450</v>
      </c>
      <c r="H450" s="28" t="n">
        <v>0</v>
      </c>
      <c r="I450" s="25" t="n">
        <v>190</v>
      </c>
    </row>
    <row r="451">
      <c r="A451" s="25" t="inlineStr">
        <is>
          <t>ORD-11108</t>
        </is>
      </c>
      <c r="B451" s="26" t="n">
        <v>45940</v>
      </c>
      <c r="C451" s="25" t="inlineStr">
        <is>
          <t>South</t>
        </is>
      </c>
      <c r="D451" s="25" t="inlineStr">
        <is>
          <t>Technology</t>
        </is>
      </c>
      <c r="E451" s="25" t="inlineStr">
        <is>
          <t>Mechanical Keyboard</t>
        </is>
      </c>
      <c r="F451" s="25" t="n">
        <v>3</v>
      </c>
      <c r="G451" s="25" t="n">
        <v>4200</v>
      </c>
      <c r="H451" s="28" t="n">
        <v>0</v>
      </c>
      <c r="I451" s="25" t="n">
        <v>2500</v>
      </c>
    </row>
    <row r="452">
      <c r="A452" s="25" t="inlineStr">
        <is>
          <t>ORD-10500</t>
        </is>
      </c>
      <c r="B452" s="26" t="n">
        <v>45994</v>
      </c>
      <c r="C452" s="25" t="inlineStr">
        <is>
          <t>West</t>
        </is>
      </c>
      <c r="D452" s="25" t="inlineStr">
        <is>
          <t>Office Supplies</t>
        </is>
      </c>
      <c r="E452" s="25" t="inlineStr">
        <is>
          <t>Notebook Set</t>
        </is>
      </c>
      <c r="F452" s="25" t="n">
        <v>7</v>
      </c>
      <c r="G452" s="25" t="n">
        <v>450</v>
      </c>
      <c r="H452" s="28" t="n">
        <v>0.2</v>
      </c>
      <c r="I452" s="25" t="n">
        <v>190</v>
      </c>
    </row>
    <row r="453">
      <c r="A453" s="25" t="inlineStr">
        <is>
          <t>ORD-11179</t>
        </is>
      </c>
      <c r="B453" s="26" t="n">
        <v>45994</v>
      </c>
      <c r="C453" s="25" t="inlineStr">
        <is>
          <t>South</t>
        </is>
      </c>
      <c r="D453" s="25" t="inlineStr">
        <is>
          <t>Furniture</t>
        </is>
      </c>
      <c r="E453" s="25" t="inlineStr">
        <is>
          <t>Standing Desk</t>
        </is>
      </c>
      <c r="F453" s="25" t="n">
        <v>2</v>
      </c>
      <c r="G453" s="25" t="n">
        <v>19500</v>
      </c>
      <c r="H453" s="28" t="n">
        <v>0.15</v>
      </c>
      <c r="I453" s="25" t="n">
        <v>13800</v>
      </c>
    </row>
    <row r="454">
      <c r="A454" s="25" t="inlineStr">
        <is>
          <t>ORD-11007</t>
        </is>
      </c>
      <c r="B454" s="25" t="inlineStr">
        <is>
          <t>27-Dec-2025</t>
        </is>
      </c>
      <c r="C454" s="25" t="inlineStr">
        <is>
          <t>West</t>
        </is>
      </c>
      <c r="D454" s="25" t="inlineStr">
        <is>
          <t>Technology</t>
        </is>
      </c>
      <c r="E454" s="25" t="inlineStr">
        <is>
          <t>Wireless Mouse</t>
        </is>
      </c>
      <c r="F454" s="25" t="n">
        <v>2</v>
      </c>
      <c r="G454" s="25" t="n">
        <v>1200</v>
      </c>
      <c r="H454" s="28" t="n">
        <v>0</v>
      </c>
      <c r="I454" s="25" t="n">
        <v>650</v>
      </c>
    </row>
    <row r="455">
      <c r="A455" s="25" t="inlineStr">
        <is>
          <t>ORD-11012</t>
        </is>
      </c>
      <c r="B455" s="25" t="inlineStr">
        <is>
          <t>03-Dec-2025</t>
        </is>
      </c>
      <c r="C455" s="25" t="inlineStr">
        <is>
          <t>North</t>
        </is>
      </c>
      <c r="D455" s="25" t="inlineStr">
        <is>
          <t>Furniture</t>
        </is>
      </c>
      <c r="E455" s="25" t="inlineStr">
        <is>
          <t>Office Chair</t>
        </is>
      </c>
      <c r="F455" s="25" t="n">
        <v>2</v>
      </c>
      <c r="G455" s="25" t="n">
        <v>8500</v>
      </c>
      <c r="H455" s="28" t="n">
        <v>0.1</v>
      </c>
      <c r="I455" s="25" t="n">
        <v>5600</v>
      </c>
    </row>
    <row r="456">
      <c r="A456" s="25" t="inlineStr">
        <is>
          <t>ORD-10046</t>
        </is>
      </c>
      <c r="B456" s="26" t="n">
        <v>45731</v>
      </c>
      <c r="C456" s="25" t="inlineStr">
        <is>
          <t>North</t>
        </is>
      </c>
      <c r="D456" s="25" t="inlineStr">
        <is>
          <t>Office Supplies</t>
        </is>
      </c>
      <c r="E456" s="25" t="inlineStr">
        <is>
          <t>Desk Organizer</t>
        </is>
      </c>
      <c r="F456" s="25" t="n">
        <v>1</v>
      </c>
      <c r="G456" s="25" t="n">
        <v>850</v>
      </c>
      <c r="H456" s="28" t="n">
        <v>0</v>
      </c>
      <c r="I456" s="25" t="n">
        <v>420</v>
      </c>
    </row>
    <row r="457">
      <c r="A457" s="25" t="inlineStr">
        <is>
          <t>ORD-10431</t>
        </is>
      </c>
      <c r="B457" s="25" t="inlineStr">
        <is>
          <t>25-Nov-2025</t>
        </is>
      </c>
      <c r="C457" s="25" t="inlineStr">
        <is>
          <t>South</t>
        </is>
      </c>
      <c r="D457" s="25" t="inlineStr">
        <is>
          <t>Office Supplies</t>
        </is>
      </c>
      <c r="E457" s="25" t="inlineStr">
        <is>
          <t>Notebook Set</t>
        </is>
      </c>
      <c r="F457" s="25" t="n">
        <v>4</v>
      </c>
      <c r="G457" s="25" t="n">
        <v>450</v>
      </c>
      <c r="H457" s="28" t="n">
        <v>0.05</v>
      </c>
      <c r="I457" s="25" t="n">
        <v>190</v>
      </c>
    </row>
    <row r="458">
      <c r="A458" s="25" t="inlineStr">
        <is>
          <t>ORD-10995</t>
        </is>
      </c>
      <c r="B458" s="26" t="n">
        <v>45842</v>
      </c>
      <c r="C458" s="25" t="inlineStr">
        <is>
          <t>East</t>
        </is>
      </c>
      <c r="D458" s="25" t="inlineStr">
        <is>
          <t>Office Supplies</t>
        </is>
      </c>
      <c r="E458" s="25" t="inlineStr">
        <is>
          <t>Desk Organizer</t>
        </is>
      </c>
      <c r="F458" s="25" t="n">
        <v>5</v>
      </c>
      <c r="G458" s="25" t="n">
        <v>850</v>
      </c>
      <c r="H458" s="28" t="n">
        <v>0.05</v>
      </c>
      <c r="I458" s="25" t="n">
        <v>420</v>
      </c>
    </row>
    <row r="459">
      <c r="A459" s="25" t="inlineStr">
        <is>
          <t>ORD-10346</t>
        </is>
      </c>
      <c r="B459" s="26" t="n">
        <v>45797</v>
      </c>
      <c r="C459" s="25" t="inlineStr">
        <is>
          <t>North</t>
        </is>
      </c>
      <c r="D459" s="25" t="inlineStr">
        <is>
          <t>Office Supplies</t>
        </is>
      </c>
      <c r="E459" s="25" t="inlineStr">
        <is>
          <t>Notebook Set</t>
        </is>
      </c>
      <c r="F459" s="25" t="n">
        <v>1</v>
      </c>
      <c r="G459" s="25" t="n">
        <v>450</v>
      </c>
      <c r="H459" s="28" t="n">
        <v>0</v>
      </c>
      <c r="I459" s="25" t="n">
        <v>190</v>
      </c>
    </row>
    <row r="460">
      <c r="A460" s="25" t="inlineStr">
        <is>
          <t>ORD-11134</t>
        </is>
      </c>
      <c r="B460" s="26" t="n">
        <v>45921</v>
      </c>
      <c r="C460" s="25" t="inlineStr">
        <is>
          <t>West</t>
        </is>
      </c>
      <c r="D460" s="25" t="inlineStr">
        <is>
          <t>Office Supplies</t>
        </is>
      </c>
      <c r="E460" s="25" t="inlineStr">
        <is>
          <t>Desk Organizer</t>
        </is>
      </c>
      <c r="F460" s="25" t="n">
        <v>1</v>
      </c>
      <c r="G460" s="25" t="n">
        <v>850</v>
      </c>
      <c r="H460" s="28" t="n">
        <v>0</v>
      </c>
      <c r="I460" s="25" t="n">
        <v>420</v>
      </c>
    </row>
    <row r="461">
      <c r="A461" s="25" t="inlineStr">
        <is>
          <t>ORD-10603</t>
        </is>
      </c>
      <c r="B461" s="26" t="n">
        <v>45849</v>
      </c>
      <c r="C461" s="25" t="inlineStr">
        <is>
          <t>West</t>
        </is>
      </c>
      <c r="D461" s="25" t="inlineStr">
        <is>
          <t>Accessories</t>
        </is>
      </c>
      <c r="E461" s="25" t="inlineStr">
        <is>
          <t>USB-C Hub</t>
        </is>
      </c>
      <c r="F461" s="25" t="n">
        <v>1</v>
      </c>
      <c r="G461" s="25" t="n">
        <v>1800</v>
      </c>
      <c r="H461" s="28" t="n">
        <v>0.2</v>
      </c>
      <c r="I461" s="25" t="n">
        <v>980</v>
      </c>
    </row>
    <row r="462">
      <c r="A462" s="25" t="inlineStr">
        <is>
          <t>ORD-10238</t>
        </is>
      </c>
      <c r="B462" s="26" t="n">
        <v>45884</v>
      </c>
      <c r="C462" s="25" t="inlineStr">
        <is>
          <t>South</t>
        </is>
      </c>
      <c r="D462" s="25" t="inlineStr">
        <is>
          <t>Accessories</t>
        </is>
      </c>
      <c r="E462" s="25" t="inlineStr">
        <is>
          <t>Headphones</t>
        </is>
      </c>
      <c r="F462" s="25" t="n">
        <v>3</v>
      </c>
      <c r="G462" s="25" t="n">
        <v>4500</v>
      </c>
      <c r="H462" s="28" t="n">
        <v>0.2</v>
      </c>
      <c r="I462" s="25" t="n">
        <v>2600</v>
      </c>
    </row>
    <row r="463">
      <c r="A463" s="25" t="inlineStr">
        <is>
          <t>ORD-10206</t>
        </is>
      </c>
      <c r="B463" s="25" t="inlineStr">
        <is>
          <t>18-May-2025</t>
        </is>
      </c>
      <c r="C463" s="25" t="inlineStr">
        <is>
          <t>West</t>
        </is>
      </c>
      <c r="D463" s="25" t="inlineStr">
        <is>
          <t>Accessories</t>
        </is>
      </c>
      <c r="E463" s="25" t="inlineStr">
        <is>
          <t>Headphones</t>
        </is>
      </c>
      <c r="F463" s="25" t="n">
        <v>1</v>
      </c>
      <c r="G463" s="25" t="n">
        <v>4500</v>
      </c>
      <c r="H463" s="28" t="n">
        <v>0</v>
      </c>
      <c r="I463" s="25" t="n">
        <v>2600</v>
      </c>
    </row>
    <row r="464">
      <c r="A464" s="25" t="inlineStr">
        <is>
          <t>ORD-10009</t>
        </is>
      </c>
      <c r="B464" s="25" t="inlineStr">
        <is>
          <t>07-May-2025</t>
        </is>
      </c>
      <c r="C464" s="25" t="inlineStr">
        <is>
          <t>North</t>
        </is>
      </c>
      <c r="D464" s="25" t="inlineStr">
        <is>
          <t>Office Supplies</t>
        </is>
      </c>
      <c r="E464" s="25" t="inlineStr">
        <is>
          <t>Notebook Set</t>
        </is>
      </c>
      <c r="F464" s="25" t="n">
        <v>6</v>
      </c>
      <c r="G464" s="25" t="n">
        <v>450</v>
      </c>
      <c r="H464" s="28" t="n">
        <v>0</v>
      </c>
      <c r="I464" s="25" t="n">
        <v>190</v>
      </c>
    </row>
    <row r="465">
      <c r="A465" s="25" t="inlineStr">
        <is>
          <t>ORD-10963</t>
        </is>
      </c>
      <c r="B465" s="25" t="inlineStr">
        <is>
          <t>24-Nov-2025</t>
        </is>
      </c>
      <c r="C465" s="25" t="inlineStr">
        <is>
          <t>West</t>
        </is>
      </c>
      <c r="D465" s="25" t="inlineStr">
        <is>
          <t>Furniture</t>
        </is>
      </c>
      <c r="E465" s="25" t="inlineStr">
        <is>
          <t>Bookshelf</t>
        </is>
      </c>
      <c r="F465" s="25" t="n">
        <v>2</v>
      </c>
      <c r="G465" s="25" t="n">
        <v>6200</v>
      </c>
      <c r="H465" s="28" t="n">
        <v>0.15</v>
      </c>
      <c r="I465" s="25" t="n">
        <v>4100</v>
      </c>
    </row>
    <row r="466">
      <c r="A466" s="25" t="inlineStr">
        <is>
          <t>ORD-10994</t>
        </is>
      </c>
      <c r="B466" s="26" t="n">
        <v>45952</v>
      </c>
      <c r="C466" s="25" t="inlineStr">
        <is>
          <t>South</t>
        </is>
      </c>
      <c r="D466" s="25" t="inlineStr">
        <is>
          <t>Office Supplies</t>
        </is>
      </c>
      <c r="E466" s="25" t="inlineStr">
        <is>
          <t>Notebook Set</t>
        </is>
      </c>
      <c r="F466" s="25" t="n">
        <v>1</v>
      </c>
      <c r="G466" s="25" t="n">
        <v>450</v>
      </c>
      <c r="H466" s="28" t="n">
        <v>0.05</v>
      </c>
      <c r="I466" s="25" t="n">
        <v>190</v>
      </c>
    </row>
    <row r="467">
      <c r="A467" s="25" t="inlineStr">
        <is>
          <t>ORD-10167</t>
        </is>
      </c>
      <c r="B467" s="26" t="n">
        <v>45675</v>
      </c>
      <c r="C467" s="25" t="inlineStr">
        <is>
          <t>South</t>
        </is>
      </c>
      <c r="D467" s="25" t="inlineStr">
        <is>
          <t>Furniture</t>
        </is>
      </c>
      <c r="E467" s="25" t="inlineStr">
        <is>
          <t>Bookshelf</t>
        </is>
      </c>
      <c r="F467" s="25" t="n">
        <v>2</v>
      </c>
      <c r="G467" s="25" t="n">
        <v>6200</v>
      </c>
      <c r="H467" s="28" t="n">
        <v>0.2</v>
      </c>
      <c r="I467" s="25" t="n">
        <v>4100</v>
      </c>
    </row>
    <row r="468">
      <c r="A468" s="25" t="inlineStr">
        <is>
          <t>ORD-10332</t>
        </is>
      </c>
      <c r="B468" s="25" t="inlineStr">
        <is>
          <t>26-Sep-2025</t>
        </is>
      </c>
      <c r="C468" s="25" t="inlineStr">
        <is>
          <t>East</t>
        </is>
      </c>
      <c r="D468" s="25" t="inlineStr">
        <is>
          <t>Technology</t>
        </is>
      </c>
      <c r="E468" s="25" t="inlineStr">
        <is>
          <t>Wireless Mouse</t>
        </is>
      </c>
      <c r="F468" s="25" t="n">
        <v>4</v>
      </c>
      <c r="G468" s="25" t="n">
        <v>1200</v>
      </c>
      <c r="H468" s="28" t="n">
        <v>0</v>
      </c>
      <c r="I468" s="25" t="n">
        <v>650</v>
      </c>
    </row>
    <row r="469">
      <c r="A469" s="25" t="inlineStr">
        <is>
          <t>ORD-10095</t>
        </is>
      </c>
      <c r="B469" s="25" t="inlineStr">
        <is>
          <t>01-Aug-2025</t>
        </is>
      </c>
      <c r="C469" s="25" t="inlineStr">
        <is>
          <t>West</t>
        </is>
      </c>
      <c r="D469" s="25" t="inlineStr">
        <is>
          <t>Technology</t>
        </is>
      </c>
      <c r="E469" s="25" t="inlineStr">
        <is>
          <t>Wireless Mouse</t>
        </is>
      </c>
      <c r="F469" s="25" t="n">
        <v>2</v>
      </c>
      <c r="G469" s="25" t="n">
        <v>1200</v>
      </c>
      <c r="H469" s="28" t="n">
        <v>0.1</v>
      </c>
      <c r="I469" s="25" t="n">
        <v>650</v>
      </c>
    </row>
    <row r="470">
      <c r="A470" s="25" t="inlineStr">
        <is>
          <t>ORD-10755</t>
        </is>
      </c>
      <c r="B470" s="25" t="inlineStr">
        <is>
          <t>12-Sep-2025</t>
        </is>
      </c>
      <c r="C470" s="25" t="inlineStr">
        <is>
          <t>South</t>
        </is>
      </c>
      <c r="D470" s="25" t="inlineStr">
        <is>
          <t>Accessories</t>
        </is>
      </c>
      <c r="E470" s="25" t="inlineStr">
        <is>
          <t>USB-C Hub</t>
        </is>
      </c>
      <c r="F470" s="25" t="n">
        <v>3</v>
      </c>
      <c r="G470" s="25" t="n">
        <v>1800</v>
      </c>
      <c r="H470" s="28" t="n">
        <v>0</v>
      </c>
      <c r="I470" s="25" t="n">
        <v>980</v>
      </c>
    </row>
    <row r="471">
      <c r="A471" s="25" t="inlineStr">
        <is>
          <t>ORD-10204</t>
        </is>
      </c>
      <c r="B471" s="26" t="n">
        <v>45823</v>
      </c>
      <c r="C471" s="25" t="inlineStr">
        <is>
          <t>West</t>
        </is>
      </c>
      <c r="D471" s="25" t="inlineStr">
        <is>
          <t>Furniture</t>
        </is>
      </c>
      <c r="E471" s="25" t="inlineStr">
        <is>
          <t>Office Chair</t>
        </is>
      </c>
      <c r="F471" s="25" t="n">
        <v>1</v>
      </c>
      <c r="G471" s="25" t="n">
        <v>8500</v>
      </c>
      <c r="H471" s="28" t="n">
        <v>0</v>
      </c>
      <c r="I471" s="25" t="n">
        <v>5600</v>
      </c>
    </row>
    <row r="472">
      <c r="A472" s="25" t="inlineStr">
        <is>
          <t>ORD-10702</t>
        </is>
      </c>
      <c r="B472" s="26" t="n">
        <v>45677</v>
      </c>
      <c r="C472" s="25" t="inlineStr">
        <is>
          <t>East</t>
        </is>
      </c>
      <c r="D472" s="25" t="inlineStr">
        <is>
          <t>Office Supplies</t>
        </is>
      </c>
      <c r="E472" s="25" t="inlineStr">
        <is>
          <t>Desk Organizer</t>
        </is>
      </c>
      <c r="F472" s="25" t="n">
        <v>2</v>
      </c>
      <c r="G472" s="25" t="n">
        <v>850</v>
      </c>
      <c r="H472" s="28" t="n">
        <v>0.2</v>
      </c>
      <c r="I472" s="25" t="n">
        <v>420</v>
      </c>
    </row>
    <row r="473">
      <c r="A473" s="25" t="inlineStr">
        <is>
          <t>ORD-10513</t>
        </is>
      </c>
      <c r="B473" s="25" t="inlineStr">
        <is>
          <t>09-Dec-2025</t>
        </is>
      </c>
      <c r="C473" s="25" t="inlineStr">
        <is>
          <t>East</t>
        </is>
      </c>
      <c r="D473" s="25" t="inlineStr">
        <is>
          <t>Office Supplies</t>
        </is>
      </c>
      <c r="E473" s="25" t="inlineStr">
        <is>
          <t>Notebook Set</t>
        </is>
      </c>
      <c r="F473" s="25" t="n">
        <v>4</v>
      </c>
      <c r="G473" s="25" t="n">
        <v>450</v>
      </c>
      <c r="H473" s="28" t="n">
        <v>0</v>
      </c>
      <c r="I473" s="25" t="n">
        <v>190</v>
      </c>
    </row>
    <row r="474">
      <c r="A474" s="25" t="inlineStr">
        <is>
          <t>ORD-11058</t>
        </is>
      </c>
      <c r="B474" s="26" t="n">
        <v>45922</v>
      </c>
      <c r="C474" s="25" t="inlineStr">
        <is>
          <t>South</t>
        </is>
      </c>
      <c r="D474" s="25" t="inlineStr">
        <is>
          <t>Technology</t>
        </is>
      </c>
      <c r="E474" s="25" t="inlineStr">
        <is>
          <t>Wireless Mouse</t>
        </is>
      </c>
      <c r="F474" s="25" t="n">
        <v>2</v>
      </c>
      <c r="G474" s="25" t="n">
        <v>1200</v>
      </c>
      <c r="H474" s="28" t="n">
        <v>0</v>
      </c>
      <c r="I474" s="25" t="n">
        <v>650</v>
      </c>
    </row>
    <row r="475">
      <c r="A475" s="25" t="inlineStr">
        <is>
          <t>ORD-10670</t>
        </is>
      </c>
      <c r="B475" s="26" t="n">
        <v>45693</v>
      </c>
      <c r="C475" s="25" t="inlineStr">
        <is>
          <t>West</t>
        </is>
      </c>
      <c r="D475" s="25" t="inlineStr">
        <is>
          <t>Furniture</t>
        </is>
      </c>
      <c r="E475" s="25" t="inlineStr">
        <is>
          <t>Office Chair</t>
        </is>
      </c>
      <c r="F475" s="25" t="n">
        <v>2</v>
      </c>
      <c r="G475" s="25" t="n">
        <v>8500</v>
      </c>
      <c r="H475" s="28" t="n">
        <v>0</v>
      </c>
      <c r="I475" s="25" t="n">
        <v>5600</v>
      </c>
    </row>
    <row r="476">
      <c r="A476" s="25" t="inlineStr">
        <is>
          <t>ORD-10577</t>
        </is>
      </c>
      <c r="B476" s="25" t="inlineStr">
        <is>
          <t>16-Oct-2025</t>
        </is>
      </c>
      <c r="C476" s="25" t="inlineStr">
        <is>
          <t>SOUTH</t>
        </is>
      </c>
      <c r="D476" s="25" t="inlineStr">
        <is>
          <t>Office Supplies</t>
        </is>
      </c>
      <c r="E476" s="25" t="inlineStr">
        <is>
          <t>Desk Organizer</t>
        </is>
      </c>
      <c r="F476" s="25" t="n">
        <v>1</v>
      </c>
      <c r="G476" s="25" t="n">
        <v>850</v>
      </c>
      <c r="H476" s="28" t="n">
        <v>0.05</v>
      </c>
      <c r="I476" s="25" t="n">
        <v>420</v>
      </c>
    </row>
    <row r="477">
      <c r="A477" s="25" t="inlineStr">
        <is>
          <t>ORD-10611</t>
        </is>
      </c>
      <c r="B477" s="26" t="n">
        <v>46004</v>
      </c>
      <c r="C477" s="25" t="inlineStr">
        <is>
          <t>South</t>
        </is>
      </c>
      <c r="D477" s="25" t="inlineStr">
        <is>
          <t>Technology</t>
        </is>
      </c>
      <c r="E477" s="25" t="inlineStr">
        <is>
          <t>Wireless Mouse</t>
        </is>
      </c>
      <c r="F477" s="25" t="n">
        <v>4</v>
      </c>
      <c r="G477" s="25" t="n">
        <v>1200</v>
      </c>
      <c r="H477" s="28" t="n">
        <v>0.1</v>
      </c>
      <c r="I477" s="25" t="n">
        <v>650</v>
      </c>
    </row>
    <row r="478">
      <c r="A478" s="25" t="inlineStr">
        <is>
          <t>ORD-10725</t>
        </is>
      </c>
      <c r="B478" s="26" t="n">
        <v>46000</v>
      </c>
      <c r="C478" s="25" t="inlineStr">
        <is>
          <t>South</t>
        </is>
      </c>
      <c r="D478" s="25" t="inlineStr">
        <is>
          <t>Office Supplies</t>
        </is>
      </c>
      <c r="E478" s="25" t="inlineStr">
        <is>
          <t>Desk Organizer</t>
        </is>
      </c>
      <c r="F478" s="25" t="n">
        <v>5</v>
      </c>
      <c r="G478" s="25" t="n">
        <v>850</v>
      </c>
      <c r="H478" s="28" t="n">
        <v>0.1</v>
      </c>
      <c r="I478" s="25" t="n">
        <v>420</v>
      </c>
    </row>
    <row r="479">
      <c r="A479" s="25" t="inlineStr">
        <is>
          <t>ORD-10873</t>
        </is>
      </c>
      <c r="B479" s="26" t="n">
        <v>45831</v>
      </c>
      <c r="C479" s="25" t="inlineStr">
        <is>
          <t>North</t>
        </is>
      </c>
      <c r="D479" s="25" t="inlineStr">
        <is>
          <t>Office Supplies</t>
        </is>
      </c>
      <c r="E479" s="25" t="inlineStr">
        <is>
          <t>Notebook Set</t>
        </is>
      </c>
      <c r="F479" s="25" t="n">
        <v>5</v>
      </c>
      <c r="G479" s="25" t="n">
        <v>450</v>
      </c>
      <c r="H479" s="28" t="n">
        <v>0</v>
      </c>
      <c r="I479" s="25" t="n">
        <v>190</v>
      </c>
    </row>
    <row r="480">
      <c r="A480" s="25" t="inlineStr">
        <is>
          <t>ORD-10833</t>
        </is>
      </c>
      <c r="B480" s="26" t="n">
        <v>46000</v>
      </c>
      <c r="C480" s="25" t="inlineStr">
        <is>
          <t>West</t>
        </is>
      </c>
      <c r="D480" s="25" t="inlineStr">
        <is>
          <t>Accessories</t>
        </is>
      </c>
      <c r="E480" s="25" t="inlineStr">
        <is>
          <t>USB-C Hub</t>
        </is>
      </c>
      <c r="F480" s="25" t="n">
        <v>2</v>
      </c>
      <c r="G480" s="25" t="n">
        <v>1800</v>
      </c>
      <c r="H480" s="28" t="n">
        <v>0</v>
      </c>
      <c r="I480" s="25" t="n">
        <v>980</v>
      </c>
    </row>
    <row r="481">
      <c r="A481" s="25" t="inlineStr">
        <is>
          <t>ORD-10308</t>
        </is>
      </c>
      <c r="B481" s="26" t="n">
        <v>46008</v>
      </c>
      <c r="C481" s="25" t="inlineStr">
        <is>
          <t>South</t>
        </is>
      </c>
      <c r="D481" s="25" t="inlineStr">
        <is>
          <t>Accessories</t>
        </is>
      </c>
      <c r="E481" s="25" t="inlineStr">
        <is>
          <t>Webcam</t>
        </is>
      </c>
      <c r="F481" s="25" t="n">
        <v>1</v>
      </c>
      <c r="G481" s="25" t="n">
        <v>3200</v>
      </c>
      <c r="H481" s="28" t="n">
        <v>0</v>
      </c>
      <c r="I481" s="25" t="n">
        <v>1900</v>
      </c>
    </row>
    <row r="482">
      <c r="A482" s="25" t="inlineStr">
        <is>
          <t>ORD-10377</t>
        </is>
      </c>
      <c r="B482" s="26" t="n">
        <v>45923</v>
      </c>
      <c r="C482" s="25" t="inlineStr">
        <is>
          <t>South</t>
        </is>
      </c>
      <c r="D482" s="25" t="inlineStr">
        <is>
          <t>Technology</t>
        </is>
      </c>
      <c r="E482" s="25" t="inlineStr">
        <is>
          <t>Mechanical Keyboard</t>
        </is>
      </c>
      <c r="F482" s="25" t="n">
        <v>2</v>
      </c>
      <c r="G482" s="25" t="n">
        <v>4200</v>
      </c>
      <c r="H482" s="28" t="n">
        <v>0.2</v>
      </c>
      <c r="I482" s="25" t="n">
        <v>2500</v>
      </c>
    </row>
    <row r="483">
      <c r="A483" s="25" t="inlineStr">
        <is>
          <t>ORD-10855</t>
        </is>
      </c>
      <c r="B483" s="25" t="inlineStr">
        <is>
          <t>08-Sep-2025</t>
        </is>
      </c>
      <c r="C483" s="25" t="inlineStr">
        <is>
          <t>South</t>
        </is>
      </c>
      <c r="D483" s="25" t="inlineStr">
        <is>
          <t>Office Supplies</t>
        </is>
      </c>
      <c r="E483" s="25" t="inlineStr">
        <is>
          <t>Printer Paper Box</t>
        </is>
      </c>
      <c r="F483" s="25" t="n">
        <v>2</v>
      </c>
      <c r="G483" s="25" t="n">
        <v>1600</v>
      </c>
      <c r="H483" s="28" t="n">
        <v>0</v>
      </c>
      <c r="I483" s="25" t="n">
        <v>1050</v>
      </c>
    </row>
    <row r="484">
      <c r="A484" s="25" t="inlineStr">
        <is>
          <t>ORD-10275</t>
        </is>
      </c>
      <c r="B484" s="25" t="inlineStr">
        <is>
          <t>03-Aug-2025</t>
        </is>
      </c>
      <c r="C484" s="25" t="inlineStr">
        <is>
          <t>West</t>
        </is>
      </c>
      <c r="D484" s="25" t="inlineStr">
        <is>
          <t>Accessories</t>
        </is>
      </c>
      <c r="E484" s="25" t="inlineStr">
        <is>
          <t>USB-C Hub</t>
        </is>
      </c>
      <c r="F484" s="25" t="n">
        <v>3</v>
      </c>
      <c r="G484" s="25" t="n">
        <v>1800</v>
      </c>
      <c r="H484" s="28" t="n">
        <v>0.1</v>
      </c>
      <c r="I484" s="25" t="n">
        <v>980</v>
      </c>
    </row>
    <row r="485">
      <c r="A485" s="25" t="inlineStr">
        <is>
          <t>ORD-11180</t>
        </is>
      </c>
      <c r="B485" s="26" t="n">
        <v>45870</v>
      </c>
      <c r="C485" s="25" t="inlineStr">
        <is>
          <t>south</t>
        </is>
      </c>
      <c r="D485" s="25" t="inlineStr">
        <is>
          <t>Technology</t>
        </is>
      </c>
      <c r="E485" s="25" t="inlineStr">
        <is>
          <t>Wireless Mouse</t>
        </is>
      </c>
      <c r="F485" s="25" t="n">
        <v>1</v>
      </c>
      <c r="G485" s="25" t="n">
        <v>1200</v>
      </c>
      <c r="H485" s="28" t="n">
        <v>0</v>
      </c>
      <c r="I485" s="25" t="n">
        <v>650</v>
      </c>
    </row>
    <row r="486">
      <c r="A486" s="25" t="inlineStr">
        <is>
          <t>ORD-10659</t>
        </is>
      </c>
      <c r="B486" s="26" t="n">
        <v>45873</v>
      </c>
      <c r="C486" s="25" t="inlineStr">
        <is>
          <t>North</t>
        </is>
      </c>
      <c r="D486" s="25" t="inlineStr">
        <is>
          <t>Office Supplies</t>
        </is>
      </c>
      <c r="E486" s="25" t="inlineStr">
        <is>
          <t>Desk Organizer</t>
        </is>
      </c>
      <c r="F486" s="25" t="n">
        <v>2</v>
      </c>
      <c r="G486" s="25" t="n">
        <v>850</v>
      </c>
      <c r="H486" s="28" t="n">
        <v>0</v>
      </c>
      <c r="I486" s="25" t="n">
        <v>420</v>
      </c>
    </row>
    <row r="487">
      <c r="A487" s="25" t="inlineStr">
        <is>
          <t>ORD-10727</t>
        </is>
      </c>
      <c r="B487" s="26" t="n">
        <v>45975</v>
      </c>
      <c r="C487" s="25" t="inlineStr">
        <is>
          <t>South</t>
        </is>
      </c>
      <c r="D487" s="25" t="inlineStr">
        <is>
          <t>Office Supplies</t>
        </is>
      </c>
      <c r="E487" s="25" t="inlineStr">
        <is>
          <t>Printer Paper Box</t>
        </is>
      </c>
      <c r="F487" s="25" t="n">
        <v>1</v>
      </c>
      <c r="G487" s="25" t="n">
        <v>1600</v>
      </c>
      <c r="H487" s="28" t="n">
        <v>0</v>
      </c>
      <c r="I487" s="25" t="n">
        <v>1050</v>
      </c>
    </row>
    <row r="488">
      <c r="A488" s="25" t="inlineStr">
        <is>
          <t>ORD-11086</t>
        </is>
      </c>
      <c r="B488" s="26" t="n">
        <v>45937</v>
      </c>
      <c r="C488" s="25" t="inlineStr">
        <is>
          <t>South</t>
        </is>
      </c>
      <c r="D488" s="25" t="inlineStr">
        <is>
          <t>Furniture</t>
        </is>
      </c>
      <c r="E488" s="25" t="inlineStr">
        <is>
          <t>Standing Desk</t>
        </is>
      </c>
      <c r="F488" s="25" t="n">
        <v>2</v>
      </c>
      <c r="G488" s="25" t="n">
        <v>19500</v>
      </c>
      <c r="H488" s="28" t="n">
        <v>0.1</v>
      </c>
      <c r="I488" s="25" t="n">
        <v>13800</v>
      </c>
    </row>
    <row r="489">
      <c r="A489" s="25" t="inlineStr">
        <is>
          <t>ORD-10689</t>
        </is>
      </c>
      <c r="B489" s="26" t="n">
        <v>45846</v>
      </c>
      <c r="C489" s="25" t="inlineStr">
        <is>
          <t>South</t>
        </is>
      </c>
      <c r="D489" s="25" t="inlineStr">
        <is>
          <t>Office Supplies</t>
        </is>
      </c>
      <c r="E489" s="25" t="inlineStr">
        <is>
          <t>Notebook Set</t>
        </is>
      </c>
      <c r="F489" s="25" t="n">
        <v>4</v>
      </c>
      <c r="G489" s="25" t="n">
        <v>450</v>
      </c>
      <c r="H489" s="28" t="n">
        <v>0.2</v>
      </c>
      <c r="I489" s="25" t="n">
        <v>190</v>
      </c>
    </row>
    <row r="490">
      <c r="A490" s="25" t="inlineStr">
        <is>
          <t>ORD-10512</t>
        </is>
      </c>
      <c r="B490" s="26" t="n">
        <v>46017</v>
      </c>
      <c r="C490" s="25" t="inlineStr">
        <is>
          <t>EAST</t>
        </is>
      </c>
      <c r="D490" s="25" t="inlineStr">
        <is>
          <t>Accessories</t>
        </is>
      </c>
      <c r="E490" s="25" t="inlineStr">
        <is>
          <t>Headphones</t>
        </is>
      </c>
      <c r="F490" s="25" t="n">
        <v>3</v>
      </c>
      <c r="G490" s="25" t="n">
        <v>4500</v>
      </c>
      <c r="H490" s="28" t="n">
        <v>0</v>
      </c>
      <c r="I490" s="25" t="n">
        <v>2600</v>
      </c>
    </row>
    <row r="491">
      <c r="A491" s="25" t="inlineStr">
        <is>
          <t>ORD-10329</t>
        </is>
      </c>
      <c r="B491" s="26" t="n">
        <v>45794</v>
      </c>
      <c r="C491" s="25" t="inlineStr">
        <is>
          <t xml:space="preserve"> East</t>
        </is>
      </c>
      <c r="D491" s="25" t="inlineStr">
        <is>
          <t>Technology</t>
        </is>
      </c>
      <c r="E491" s="25" t="inlineStr">
        <is>
          <t>Monitor 24"</t>
        </is>
      </c>
      <c r="F491" s="25" t="n">
        <v>1</v>
      </c>
      <c r="G491" s="25" t="n">
        <v>11500</v>
      </c>
      <c r="H491" s="28" t="n">
        <v>0</v>
      </c>
      <c r="I491" s="25" t="n">
        <v>8200</v>
      </c>
    </row>
    <row r="492">
      <c r="A492" s="25" t="inlineStr">
        <is>
          <t>ORD-10409</t>
        </is>
      </c>
      <c r="B492" s="25" t="inlineStr">
        <is>
          <t>21-Sep-2025</t>
        </is>
      </c>
      <c r="C492" s="25" t="inlineStr">
        <is>
          <t>North</t>
        </is>
      </c>
      <c r="D492" s="25" t="inlineStr">
        <is>
          <t>Office Supplies</t>
        </is>
      </c>
      <c r="E492" s="25" t="inlineStr">
        <is>
          <t>Notebook Set</t>
        </is>
      </c>
      <c r="F492" s="25" t="n">
        <v>6</v>
      </c>
      <c r="G492" s="25" t="n">
        <v>450</v>
      </c>
      <c r="H492" s="28" t="n">
        <v>0</v>
      </c>
      <c r="I492" s="25" t="n">
        <v>190</v>
      </c>
    </row>
    <row r="493">
      <c r="A493" s="25" t="inlineStr">
        <is>
          <t>ORD-10637</t>
        </is>
      </c>
      <c r="B493" s="25" t="inlineStr">
        <is>
          <t>13-Nov-2025</t>
        </is>
      </c>
      <c r="C493" s="25" t="inlineStr">
        <is>
          <t>North</t>
        </is>
      </c>
      <c r="D493" s="25" t="inlineStr">
        <is>
          <t>Furniture</t>
        </is>
      </c>
      <c r="E493" s="25" t="inlineStr">
        <is>
          <t>Office Chair</t>
        </is>
      </c>
      <c r="F493" s="25" t="n">
        <v>2</v>
      </c>
      <c r="G493" s="25" t="n">
        <v>8500</v>
      </c>
      <c r="H493" s="28" t="n">
        <v>0.2</v>
      </c>
      <c r="I493" s="25" t="n">
        <v>5600</v>
      </c>
    </row>
    <row r="494">
      <c r="A494" s="25" t="inlineStr">
        <is>
          <t>ORD-11122</t>
        </is>
      </c>
      <c r="B494" s="26" t="n">
        <v>45903</v>
      </c>
      <c r="C494" s="25" t="inlineStr">
        <is>
          <t>North</t>
        </is>
      </c>
      <c r="D494" s="25" t="inlineStr">
        <is>
          <t>Accessories</t>
        </is>
      </c>
      <c r="E494" s="25" t="inlineStr">
        <is>
          <t>Headphones</t>
        </is>
      </c>
      <c r="F494" s="25" t="n">
        <v>2</v>
      </c>
      <c r="G494" s="25" t="n">
        <v>4500</v>
      </c>
      <c r="H494" s="28" t="n">
        <v>0</v>
      </c>
      <c r="I494" s="25" t="n">
        <v>2600</v>
      </c>
    </row>
    <row r="495">
      <c r="A495" s="25" t="inlineStr">
        <is>
          <t>ORD-10568</t>
        </is>
      </c>
      <c r="B495" s="25" t="inlineStr">
        <is>
          <t>05-Oct-2025</t>
        </is>
      </c>
      <c r="C495" s="25" t="inlineStr">
        <is>
          <t>West</t>
        </is>
      </c>
      <c r="D495" s="25" t="inlineStr">
        <is>
          <t>Furniture</t>
        </is>
      </c>
      <c r="E495" s="25" t="inlineStr">
        <is>
          <t>Standing Desk</t>
        </is>
      </c>
      <c r="F495" s="25" t="n">
        <v>1</v>
      </c>
      <c r="G495" s="25" t="n">
        <v>19500</v>
      </c>
      <c r="H495" s="28" t="n">
        <v>0.1</v>
      </c>
      <c r="I495" s="25" t="n">
        <v>13800</v>
      </c>
    </row>
    <row r="496">
      <c r="A496" s="25" t="inlineStr">
        <is>
          <t>ORD-10351</t>
        </is>
      </c>
      <c r="B496" s="25" t="inlineStr">
        <is>
          <t>24-Aug-2025</t>
        </is>
      </c>
      <c r="C496" s="25" t="inlineStr">
        <is>
          <t>North</t>
        </is>
      </c>
      <c r="D496" s="25" t="inlineStr">
        <is>
          <t>Furniture</t>
        </is>
      </c>
      <c r="E496" s="25" t="inlineStr">
        <is>
          <t>Office Chair</t>
        </is>
      </c>
      <c r="F496" s="25" t="n">
        <v>1</v>
      </c>
      <c r="G496" s="25" t="n">
        <v>8500</v>
      </c>
      <c r="H496" s="28" t="n">
        <v>0.15</v>
      </c>
      <c r="I496" s="25" t="n">
        <v>5600</v>
      </c>
    </row>
    <row r="497">
      <c r="A497" s="25" t="inlineStr">
        <is>
          <t>ORD-10922</t>
        </is>
      </c>
      <c r="B497" s="26" t="n">
        <v>45851</v>
      </c>
      <c r="C497" s="25" t="inlineStr">
        <is>
          <t>North</t>
        </is>
      </c>
      <c r="D497" s="25" t="inlineStr">
        <is>
          <t>Office Supplies</t>
        </is>
      </c>
      <c r="E497" s="25" t="inlineStr">
        <is>
          <t>Printer Paper Box</t>
        </is>
      </c>
      <c r="F497" s="25" t="n">
        <v>2</v>
      </c>
      <c r="G497" s="25" t="n">
        <v>1600</v>
      </c>
      <c r="H497" s="28" t="n">
        <v>0.15</v>
      </c>
      <c r="I497" s="25" t="n">
        <v>1050</v>
      </c>
    </row>
    <row r="498">
      <c r="A498" s="25" t="inlineStr">
        <is>
          <t>ORD-10196</t>
        </is>
      </c>
      <c r="B498" s="25" t="inlineStr">
        <is>
          <t>04-Dec-2025</t>
        </is>
      </c>
      <c r="C498" s="25" t="inlineStr">
        <is>
          <t>West</t>
        </is>
      </c>
      <c r="D498" s="25" t="inlineStr">
        <is>
          <t>Office Supplies</t>
        </is>
      </c>
      <c r="E498" s="25" t="inlineStr">
        <is>
          <t>Notebook Set</t>
        </is>
      </c>
      <c r="F498" s="25" t="n">
        <v>7</v>
      </c>
      <c r="G498" s="25" t="n">
        <v>450</v>
      </c>
      <c r="H498" s="28" t="n">
        <v>0</v>
      </c>
      <c r="I498" s="25" t="n">
        <v>190</v>
      </c>
    </row>
    <row r="499">
      <c r="A499" s="25" t="inlineStr">
        <is>
          <t>ORD-10330</t>
        </is>
      </c>
      <c r="B499" s="25" t="inlineStr">
        <is>
          <t>08-Sep-2025</t>
        </is>
      </c>
      <c r="C499" s="25" t="inlineStr">
        <is>
          <t>West</t>
        </is>
      </c>
      <c r="D499" s="25" t="inlineStr">
        <is>
          <t>Office Supplies</t>
        </is>
      </c>
      <c r="E499" s="25" t="inlineStr">
        <is>
          <t>Printer Paper Box</t>
        </is>
      </c>
      <c r="F499" s="25" t="n">
        <v>1</v>
      </c>
      <c r="G499" s="25" t="n">
        <v>1600</v>
      </c>
      <c r="H499" s="28" t="n">
        <v>0.1</v>
      </c>
      <c r="I499" s="25" t="n">
        <v>1050</v>
      </c>
    </row>
    <row r="500">
      <c r="A500" s="25" t="inlineStr">
        <is>
          <t>ORD-10345</t>
        </is>
      </c>
      <c r="B500" s="26" t="n">
        <v>45971</v>
      </c>
      <c r="C500" s="25" t="inlineStr">
        <is>
          <t>South</t>
        </is>
      </c>
      <c r="D500" s="25" t="inlineStr">
        <is>
          <t>Technology</t>
        </is>
      </c>
      <c r="E500" s="25" t="inlineStr">
        <is>
          <t>Wireless Mouse</t>
        </is>
      </c>
      <c r="F500" s="25" t="n">
        <v>1</v>
      </c>
      <c r="G500" s="25" t="n">
        <v>1200</v>
      </c>
      <c r="H500" s="28" t="n">
        <v>0</v>
      </c>
      <c r="I500" s="25" t="n">
        <v>650</v>
      </c>
    </row>
    <row r="501">
      <c r="A501" s="25" t="inlineStr">
        <is>
          <t>ORD-10462</t>
        </is>
      </c>
      <c r="B501" s="26" t="n">
        <v>45992</v>
      </c>
      <c r="C501" s="25" t="inlineStr">
        <is>
          <t>South</t>
        </is>
      </c>
      <c r="D501" s="25" t="inlineStr">
        <is>
          <t>Accessories</t>
        </is>
      </c>
      <c r="E501" s="25" t="inlineStr">
        <is>
          <t>USB-C Hub</t>
        </is>
      </c>
      <c r="F501" s="25" t="n">
        <v>3</v>
      </c>
      <c r="G501" s="25" t="n">
        <v>1800</v>
      </c>
      <c r="H501" s="28" t="n">
        <v>0.1</v>
      </c>
      <c r="I501" s="25" t="n">
        <v>980</v>
      </c>
    </row>
    <row r="502">
      <c r="A502" s="25" t="inlineStr">
        <is>
          <t>ORD-10154</t>
        </is>
      </c>
      <c r="B502" s="26" t="n">
        <v>45885</v>
      </c>
      <c r="C502" s="25" t="inlineStr">
        <is>
          <t>East</t>
        </is>
      </c>
      <c r="D502" s="25" t="inlineStr">
        <is>
          <t>Technology</t>
        </is>
      </c>
      <c r="E502" s="25" t="inlineStr">
        <is>
          <t>Mechanical Keyboard</t>
        </is>
      </c>
      <c r="F502" s="25" t="n">
        <v>3</v>
      </c>
      <c r="G502" s="25" t="n">
        <v>4200</v>
      </c>
      <c r="H502" s="28" t="n">
        <v>0</v>
      </c>
      <c r="I502" s="25" t="n">
        <v>2500</v>
      </c>
    </row>
    <row r="503">
      <c r="A503" s="25" t="inlineStr">
        <is>
          <t>ORD-11136</t>
        </is>
      </c>
      <c r="B503" s="26" t="n">
        <v>45695</v>
      </c>
      <c r="C503" s="25" t="inlineStr">
        <is>
          <t xml:space="preserve">South </t>
        </is>
      </c>
      <c r="D503" s="25" t="inlineStr">
        <is>
          <t>Technology</t>
        </is>
      </c>
      <c r="E503" s="25" t="inlineStr">
        <is>
          <t>Monitor 24"</t>
        </is>
      </c>
      <c r="F503" s="25" t="n">
        <v>1</v>
      </c>
      <c r="G503" s="25" t="n">
        <v>11500</v>
      </c>
      <c r="H503" s="28" t="n">
        <v>0.05</v>
      </c>
      <c r="I503" s="25" t="n">
        <v>8200</v>
      </c>
    </row>
    <row r="504">
      <c r="A504" s="25" t="inlineStr">
        <is>
          <t>ORD-11074</t>
        </is>
      </c>
      <c r="B504" s="26" t="n">
        <v>45845</v>
      </c>
      <c r="C504" s="25" t="inlineStr">
        <is>
          <t>North</t>
        </is>
      </c>
      <c r="D504" s="25" t="inlineStr">
        <is>
          <t>Technology</t>
        </is>
      </c>
      <c r="E504" s="25" t="inlineStr">
        <is>
          <t>Monitor 24"</t>
        </is>
      </c>
      <c r="F504" s="25" t="n">
        <v>2</v>
      </c>
      <c r="G504" s="25" t="n">
        <v>11500</v>
      </c>
      <c r="H504" s="28" t="n">
        <v>0.2</v>
      </c>
      <c r="I504" s="25" t="n">
        <v>8200</v>
      </c>
    </row>
    <row r="505">
      <c r="A505" s="25" t="inlineStr">
        <is>
          <t>ORD-10770</t>
        </is>
      </c>
      <c r="B505" s="26" t="n">
        <v>45735</v>
      </c>
      <c r="C505" s="25" t="inlineStr">
        <is>
          <t>West</t>
        </is>
      </c>
      <c r="D505" s="25" t="inlineStr">
        <is>
          <t>Office Supplies</t>
        </is>
      </c>
      <c r="E505" s="25" t="inlineStr">
        <is>
          <t>Notebook Set</t>
        </is>
      </c>
      <c r="F505" s="25" t="n">
        <v>7</v>
      </c>
      <c r="G505" s="25" t="n">
        <v>450</v>
      </c>
      <c r="H505" s="28" t="n">
        <v>0.1</v>
      </c>
      <c r="I505" s="25" t="n">
        <v>190</v>
      </c>
    </row>
    <row r="506">
      <c r="A506" s="25" t="inlineStr">
        <is>
          <t>ORD-10092</t>
        </is>
      </c>
      <c r="B506" s="26" t="n">
        <v>45999</v>
      </c>
      <c r="C506" s="25" t="inlineStr">
        <is>
          <t>South</t>
        </is>
      </c>
      <c r="D506" s="25" t="inlineStr">
        <is>
          <t>Accessories</t>
        </is>
      </c>
      <c r="E506" s="25" t="inlineStr">
        <is>
          <t>Webcam</t>
        </is>
      </c>
      <c r="F506" s="25" t="n">
        <v>3</v>
      </c>
      <c r="G506" s="25" t="n">
        <v>3200</v>
      </c>
      <c r="H506" s="28" t="n">
        <v>0</v>
      </c>
      <c r="I506" s="25" t="n">
        <v>1900</v>
      </c>
    </row>
    <row r="507">
      <c r="A507" s="25" t="inlineStr">
        <is>
          <t>ORD-10398</t>
        </is>
      </c>
      <c r="B507" s="26" t="n">
        <v>45676</v>
      </c>
      <c r="C507" s="25" t="inlineStr">
        <is>
          <t xml:space="preserve">West </t>
        </is>
      </c>
      <c r="D507" s="25" t="inlineStr">
        <is>
          <t>Accessories</t>
        </is>
      </c>
      <c r="E507" s="25" t="inlineStr">
        <is>
          <t>Webcam</t>
        </is>
      </c>
      <c r="F507" s="25" t="n">
        <v>2</v>
      </c>
      <c r="G507" s="25" t="n">
        <v>3200</v>
      </c>
      <c r="H507" s="28" t="n">
        <v>0.2</v>
      </c>
      <c r="I507" s="25" t="n">
        <v>1900</v>
      </c>
    </row>
    <row r="508">
      <c r="A508" s="25" t="inlineStr">
        <is>
          <t>ORD-10542</t>
        </is>
      </c>
      <c r="B508" s="26" t="n">
        <v>45835</v>
      </c>
      <c r="C508" s="25" t="inlineStr">
        <is>
          <t>West</t>
        </is>
      </c>
      <c r="D508" s="25" t="inlineStr">
        <is>
          <t>Accessories</t>
        </is>
      </c>
      <c r="E508" s="25" t="inlineStr">
        <is>
          <t>Webcam</t>
        </is>
      </c>
      <c r="F508" s="25" t="n">
        <v>1</v>
      </c>
      <c r="G508" s="25" t="n">
        <v>3200</v>
      </c>
      <c r="H508" s="28" t="n">
        <v>0</v>
      </c>
      <c r="I508" s="25" t="n">
        <v>1900</v>
      </c>
    </row>
    <row r="509">
      <c r="A509" s="25" t="inlineStr">
        <is>
          <t>ORD-10604</t>
        </is>
      </c>
      <c r="B509" s="26" t="n">
        <v>45933</v>
      </c>
      <c r="C509" s="25" t="inlineStr">
        <is>
          <t>South</t>
        </is>
      </c>
      <c r="D509" s="25" t="inlineStr">
        <is>
          <t>Office Supplies</t>
        </is>
      </c>
      <c r="E509" s="25" t="inlineStr">
        <is>
          <t>Notebook Set</t>
        </is>
      </c>
      <c r="F509" s="25" t="n">
        <v>4</v>
      </c>
      <c r="G509" s="25" t="n">
        <v>450</v>
      </c>
      <c r="H509" s="28" t="n">
        <v>0</v>
      </c>
      <c r="I509" s="25" t="n">
        <v>190</v>
      </c>
    </row>
    <row r="510">
      <c r="A510" s="25" t="inlineStr">
        <is>
          <t>ORD-10579</t>
        </is>
      </c>
      <c r="B510" s="26" t="n">
        <v>45729</v>
      </c>
      <c r="C510" s="25" t="inlineStr">
        <is>
          <t>South</t>
        </is>
      </c>
      <c r="D510" s="25" t="inlineStr">
        <is>
          <t>Accessories</t>
        </is>
      </c>
      <c r="E510" s="25" t="inlineStr">
        <is>
          <t>Webcam</t>
        </is>
      </c>
      <c r="F510" s="25" t="n">
        <v>2</v>
      </c>
      <c r="G510" s="25" t="n">
        <v>3200</v>
      </c>
      <c r="H510" s="28" t="n">
        <v>0.15</v>
      </c>
      <c r="I510" s="25" t="n">
        <v>1900</v>
      </c>
    </row>
    <row r="511">
      <c r="A511" s="25" t="inlineStr">
        <is>
          <t>ORD-11110</t>
        </is>
      </c>
      <c r="B511" s="25" t="inlineStr">
        <is>
          <t>01-Nov-2025</t>
        </is>
      </c>
      <c r="C511" s="25" t="inlineStr">
        <is>
          <t>South</t>
        </is>
      </c>
      <c r="D511" s="25" t="inlineStr">
        <is>
          <t>Furniture</t>
        </is>
      </c>
      <c r="E511" s="25" t="inlineStr">
        <is>
          <t>Bookshelf</t>
        </is>
      </c>
      <c r="F511" s="25" t="n">
        <v>2</v>
      </c>
      <c r="G511" s="25" t="n">
        <v>6200</v>
      </c>
      <c r="H511" s="28" t="n">
        <v>0</v>
      </c>
      <c r="I511" s="25" t="n">
        <v>4100</v>
      </c>
    </row>
    <row r="512">
      <c r="A512" s="25" t="inlineStr">
        <is>
          <t>ORD-10866</t>
        </is>
      </c>
      <c r="B512" s="26" t="n">
        <v>45796</v>
      </c>
      <c r="C512" s="25" t="inlineStr">
        <is>
          <t>West</t>
        </is>
      </c>
      <c r="D512" s="25" t="inlineStr">
        <is>
          <t>Office Supplies</t>
        </is>
      </c>
      <c r="E512" s="25" t="inlineStr">
        <is>
          <t>Printer Paper Box</t>
        </is>
      </c>
      <c r="F512" s="25" t="n">
        <v>6</v>
      </c>
      <c r="G512" s="25" t="n">
        <v>1600</v>
      </c>
      <c r="H512" s="28" t="n">
        <v>0</v>
      </c>
      <c r="I512" s="25" t="n">
        <v>1050</v>
      </c>
    </row>
    <row r="513">
      <c r="A513" s="25" t="inlineStr">
        <is>
          <t>ORD-11185</t>
        </is>
      </c>
      <c r="B513" s="25" t="inlineStr">
        <is>
          <t>14-May-2025</t>
        </is>
      </c>
      <c r="C513" s="25" t="inlineStr">
        <is>
          <t>NORTH</t>
        </is>
      </c>
      <c r="D513" s="25" t="inlineStr">
        <is>
          <t>Office Supplies</t>
        </is>
      </c>
      <c r="E513" s="25" t="inlineStr">
        <is>
          <t>Desk Organizer</t>
        </is>
      </c>
      <c r="F513" s="25" t="n">
        <v>5</v>
      </c>
      <c r="G513" s="25" t="n">
        <v>850</v>
      </c>
      <c r="H513" s="28" t="n">
        <v>0.2</v>
      </c>
      <c r="I513" s="25" t="n">
        <v>420</v>
      </c>
    </row>
    <row r="514">
      <c r="A514" s="25" t="inlineStr">
        <is>
          <t>ORD-10241</t>
        </is>
      </c>
      <c r="B514" s="26" t="n">
        <v>45908</v>
      </c>
      <c r="C514" s="25" t="inlineStr">
        <is>
          <t>South</t>
        </is>
      </c>
      <c r="D514" s="25" t="inlineStr">
        <is>
          <t>Office Supplies</t>
        </is>
      </c>
      <c r="E514" s="25" t="inlineStr">
        <is>
          <t>Desk Organizer</t>
        </is>
      </c>
      <c r="F514" s="25" t="n">
        <v>4</v>
      </c>
      <c r="G514" s="25" t="n">
        <v>850</v>
      </c>
      <c r="H514" s="28" t="n">
        <v>0</v>
      </c>
      <c r="I514" s="25" t="n">
        <v>420</v>
      </c>
    </row>
    <row r="515">
      <c r="A515" s="25" t="inlineStr">
        <is>
          <t>ORD-11114</t>
        </is>
      </c>
      <c r="B515" s="26" t="n">
        <v>45778</v>
      </c>
      <c r="C515" s="25" t="inlineStr">
        <is>
          <t>North</t>
        </is>
      </c>
      <c r="D515" s="25" t="inlineStr">
        <is>
          <t>Office Supplies</t>
        </is>
      </c>
      <c r="E515" s="25" t="inlineStr">
        <is>
          <t>Printer Paper Box</t>
        </is>
      </c>
      <c r="F515" s="25" t="n">
        <v>5</v>
      </c>
      <c r="G515" s="25" t="n">
        <v>1600</v>
      </c>
      <c r="H515" s="28" t="n">
        <v>0</v>
      </c>
      <c r="I515" s="25" t="n">
        <v>1050</v>
      </c>
    </row>
    <row r="516">
      <c r="A516" s="25" t="inlineStr">
        <is>
          <t>ORD-10271</t>
        </is>
      </c>
      <c r="B516" s="26" t="n">
        <v>45998</v>
      </c>
      <c r="C516" s="25" t="inlineStr">
        <is>
          <t>East</t>
        </is>
      </c>
      <c r="D516" s="25" t="inlineStr">
        <is>
          <t>Office Supplies</t>
        </is>
      </c>
      <c r="E516" s="25" t="inlineStr">
        <is>
          <t>Printer Paper Box</t>
        </is>
      </c>
      <c r="F516" s="25" t="n">
        <v>5</v>
      </c>
      <c r="G516" s="25" t="n">
        <v>1600</v>
      </c>
      <c r="H516" s="28" t="n">
        <v>0.05</v>
      </c>
      <c r="I516" s="25" t="n">
        <v>1050</v>
      </c>
    </row>
    <row r="517">
      <c r="A517" s="25" t="inlineStr">
        <is>
          <t>ORD-10851</t>
        </is>
      </c>
      <c r="B517" s="26" t="n">
        <v>46008</v>
      </c>
      <c r="C517" s="25" t="inlineStr">
        <is>
          <t>South</t>
        </is>
      </c>
      <c r="D517" s="25" t="inlineStr">
        <is>
          <t>Office Supplies</t>
        </is>
      </c>
      <c r="E517" s="25" t="inlineStr">
        <is>
          <t>Notebook Set</t>
        </is>
      </c>
      <c r="F517" s="25" t="n">
        <v>6</v>
      </c>
      <c r="G517" s="25" t="n">
        <v>450</v>
      </c>
      <c r="H517" s="28" t="n">
        <v>0.15</v>
      </c>
      <c r="I517" s="25" t="n">
        <v>190</v>
      </c>
    </row>
    <row r="518">
      <c r="A518" s="25" t="inlineStr">
        <is>
          <t>ORD-10026</t>
        </is>
      </c>
      <c r="B518" s="26" t="n">
        <v>46005</v>
      </c>
      <c r="C518" s="25" t="inlineStr">
        <is>
          <t>North</t>
        </is>
      </c>
      <c r="D518" s="25" t="inlineStr">
        <is>
          <t>Accessories</t>
        </is>
      </c>
      <c r="E518" s="25" t="inlineStr">
        <is>
          <t>USB-C Hub</t>
        </is>
      </c>
      <c r="F518" s="25" t="n">
        <v>4</v>
      </c>
      <c r="G518" s="25" t="n">
        <v>1800</v>
      </c>
      <c r="H518" s="28" t="n">
        <v>0.1</v>
      </c>
      <c r="I518" s="25" t="n">
        <v>980</v>
      </c>
    </row>
    <row r="519">
      <c r="A519" s="25" t="inlineStr">
        <is>
          <t>ORD-11000</t>
        </is>
      </c>
      <c r="B519" s="26" t="n">
        <v>45671</v>
      </c>
      <c r="C519" s="25" t="inlineStr">
        <is>
          <t>North</t>
        </is>
      </c>
      <c r="D519" s="25" t="inlineStr">
        <is>
          <t>Technology</t>
        </is>
      </c>
      <c r="E519" s="25" t="inlineStr">
        <is>
          <t>Mechanical Keyboard</t>
        </is>
      </c>
      <c r="F519" s="25" t="n">
        <v>2</v>
      </c>
      <c r="G519" s="25" t="n">
        <v>4200</v>
      </c>
      <c r="H519" s="28" t="n">
        <v>0</v>
      </c>
      <c r="I519" s="25" t="n">
        <v>2500</v>
      </c>
    </row>
    <row r="520">
      <c r="A520" s="25" t="inlineStr">
        <is>
          <t>ORD-10739</t>
        </is>
      </c>
      <c r="B520" s="26" t="n">
        <v>45984</v>
      </c>
      <c r="C520" s="25" t="inlineStr">
        <is>
          <t>West</t>
        </is>
      </c>
      <c r="D520" s="25" t="inlineStr">
        <is>
          <t>Accessories</t>
        </is>
      </c>
      <c r="E520" s="25" t="inlineStr">
        <is>
          <t>USB-C Hub</t>
        </is>
      </c>
      <c r="F520" s="25" t="n">
        <v>3</v>
      </c>
      <c r="G520" s="25" t="n">
        <v>1800</v>
      </c>
      <c r="H520" s="28" t="n">
        <v>0</v>
      </c>
      <c r="I520" s="25" t="n">
        <v>980</v>
      </c>
    </row>
    <row r="521">
      <c r="A521" s="25" t="inlineStr">
        <is>
          <t>ORD-10186</t>
        </is>
      </c>
      <c r="B521" s="26" t="n">
        <v>45694</v>
      </c>
      <c r="C521" s="25" t="inlineStr">
        <is>
          <t>East</t>
        </is>
      </c>
      <c r="D521" s="25" t="inlineStr">
        <is>
          <t>Furniture</t>
        </is>
      </c>
      <c r="E521" s="25" t="inlineStr">
        <is>
          <t>Office Chair</t>
        </is>
      </c>
      <c r="F521" s="25" t="n">
        <v>2</v>
      </c>
      <c r="G521" s="25" t="n">
        <v>8500</v>
      </c>
      <c r="H521" s="28" t="n">
        <v>0</v>
      </c>
      <c r="I521" s="25" t="n">
        <v>5600</v>
      </c>
    </row>
    <row r="522">
      <c r="A522" s="25" t="inlineStr">
        <is>
          <t>ORD-10383</t>
        </is>
      </c>
      <c r="B522" s="26" t="n">
        <v>45676</v>
      </c>
      <c r="C522" s="25" t="inlineStr">
        <is>
          <t>West</t>
        </is>
      </c>
      <c r="D522" s="25" t="inlineStr">
        <is>
          <t>Office Supplies</t>
        </is>
      </c>
      <c r="E522" s="25" t="inlineStr">
        <is>
          <t>Printer Paper Box</t>
        </is>
      </c>
      <c r="F522" s="25" t="n">
        <v>6</v>
      </c>
      <c r="G522" s="25" t="n">
        <v>1600</v>
      </c>
      <c r="H522" s="28" t="n">
        <v>0</v>
      </c>
      <c r="I522" s="25" t="n">
        <v>1050</v>
      </c>
    </row>
    <row r="523">
      <c r="A523" s="25" t="inlineStr">
        <is>
          <t>ORD-10159</t>
        </is>
      </c>
      <c r="B523" s="26" t="n">
        <v>45815</v>
      </c>
      <c r="C523" s="25" t="inlineStr">
        <is>
          <t>NORTH</t>
        </is>
      </c>
      <c r="D523" s="25" t="inlineStr">
        <is>
          <t>Technology</t>
        </is>
      </c>
      <c r="E523" s="25" t="inlineStr">
        <is>
          <t>Wireless Mouse</t>
        </is>
      </c>
      <c r="F523" s="25" t="n">
        <v>1</v>
      </c>
      <c r="G523" s="25" t="n">
        <v>1200</v>
      </c>
      <c r="H523" s="28" t="n">
        <v>0</v>
      </c>
      <c r="I523" s="25" t="n">
        <v>650</v>
      </c>
    </row>
    <row r="524">
      <c r="A524" s="25" t="inlineStr">
        <is>
          <t>ORD-10651</t>
        </is>
      </c>
      <c r="B524" s="25" t="inlineStr">
        <is>
          <t>11-Jan-2025</t>
        </is>
      </c>
      <c r="C524" s="25" t="inlineStr">
        <is>
          <t>West</t>
        </is>
      </c>
      <c r="D524" s="25" t="inlineStr">
        <is>
          <t>Accessories</t>
        </is>
      </c>
      <c r="E524" s="25" t="inlineStr">
        <is>
          <t>Headphones</t>
        </is>
      </c>
      <c r="F524" s="25" t="n">
        <v>1</v>
      </c>
      <c r="G524" s="25" t="n">
        <v>4500</v>
      </c>
      <c r="H524" s="28" t="n">
        <v>0.05</v>
      </c>
      <c r="I524" s="25" t="n">
        <v>2600</v>
      </c>
    </row>
    <row r="525">
      <c r="A525" s="25" t="inlineStr">
        <is>
          <t>ORD-10211</t>
        </is>
      </c>
      <c r="B525" s="26" t="n">
        <v>45981</v>
      </c>
      <c r="C525" s="25" t="inlineStr">
        <is>
          <t>West</t>
        </is>
      </c>
      <c r="D525" s="25" t="inlineStr">
        <is>
          <t>Accessories</t>
        </is>
      </c>
      <c r="E525" s="25" t="inlineStr">
        <is>
          <t>USB-C Hub</t>
        </is>
      </c>
      <c r="F525" s="25" t="n">
        <v>1</v>
      </c>
      <c r="G525" s="25" t="n">
        <v>1800</v>
      </c>
      <c r="H525" s="28" t="n">
        <v>0.15</v>
      </c>
      <c r="I525" s="25" t="n">
        <v>980</v>
      </c>
    </row>
    <row r="526">
      <c r="A526" s="25" t="inlineStr">
        <is>
          <t>ORD-10697</t>
        </is>
      </c>
      <c r="B526" s="26" t="n">
        <v>45737</v>
      </c>
      <c r="C526" s="25" t="inlineStr">
        <is>
          <t>West</t>
        </is>
      </c>
      <c r="D526" s="25" t="inlineStr">
        <is>
          <t>Office Supplies</t>
        </is>
      </c>
      <c r="E526" s="25" t="inlineStr">
        <is>
          <t>Notebook Set</t>
        </is>
      </c>
      <c r="F526" s="25" t="n">
        <v>2</v>
      </c>
      <c r="G526" s="25" t="n">
        <v>450</v>
      </c>
      <c r="H526" s="28" t="n">
        <v>0</v>
      </c>
      <c r="I526" s="25" t="n">
        <v>190</v>
      </c>
    </row>
    <row r="527">
      <c r="A527" s="25" t="inlineStr">
        <is>
          <t>ORD-11062</t>
        </is>
      </c>
      <c r="B527" s="26" t="n">
        <v>46005</v>
      </c>
      <c r="C527" s="25" t="inlineStr">
        <is>
          <t>NORTH</t>
        </is>
      </c>
      <c r="D527" s="25" t="inlineStr">
        <is>
          <t>Office Supplies</t>
        </is>
      </c>
      <c r="E527" s="25" t="inlineStr">
        <is>
          <t>Notebook Set</t>
        </is>
      </c>
      <c r="F527" s="25" t="n">
        <v>1</v>
      </c>
      <c r="G527" s="25" t="n">
        <v>450</v>
      </c>
      <c r="H527" s="28" t="n">
        <v>0</v>
      </c>
      <c r="I527" s="25" t="n">
        <v>190</v>
      </c>
    </row>
    <row r="528">
      <c r="A528" s="25" t="inlineStr">
        <is>
          <t>ORD-10014</t>
        </is>
      </c>
      <c r="B528" s="26" t="n">
        <v>45749</v>
      </c>
      <c r="C528" s="25" t="inlineStr">
        <is>
          <t>West</t>
        </is>
      </c>
      <c r="D528" s="25" t="inlineStr">
        <is>
          <t>Office Supplies</t>
        </is>
      </c>
      <c r="E528" s="25" t="inlineStr">
        <is>
          <t>Notebook Set</t>
        </is>
      </c>
      <c r="F528" s="25" t="n">
        <v>4</v>
      </c>
      <c r="G528" s="25" t="n">
        <v>450</v>
      </c>
      <c r="H528" s="28" t="n">
        <v>0.05</v>
      </c>
      <c r="I528" s="25" t="n">
        <v>190</v>
      </c>
    </row>
    <row r="529">
      <c r="A529" s="25" t="inlineStr">
        <is>
          <t>ORD-10011</t>
        </is>
      </c>
      <c r="B529" s="25" t="inlineStr">
        <is>
          <t>26-Sep-2025</t>
        </is>
      </c>
      <c r="C529" s="25" t="inlineStr">
        <is>
          <t>South</t>
        </is>
      </c>
      <c r="D529" s="25" t="inlineStr">
        <is>
          <t>Technology</t>
        </is>
      </c>
      <c r="E529" s="25" t="inlineStr">
        <is>
          <t>Wireless Mouse</t>
        </is>
      </c>
      <c r="F529" s="25" t="n">
        <v>1</v>
      </c>
      <c r="G529" s="25" t="n">
        <v>1200</v>
      </c>
      <c r="H529" s="28" t="n">
        <v>0.2</v>
      </c>
      <c r="I529" s="25" t="n">
        <v>650</v>
      </c>
    </row>
    <row r="530">
      <c r="A530" s="25" t="inlineStr">
        <is>
          <t>ORD-10563</t>
        </is>
      </c>
      <c r="B530" s="26" t="n">
        <v>45924</v>
      </c>
      <c r="C530" s="25" t="inlineStr">
        <is>
          <t>South</t>
        </is>
      </c>
      <c r="D530" s="25" t="inlineStr">
        <is>
          <t>Office Supplies</t>
        </is>
      </c>
      <c r="E530" s="25" t="inlineStr">
        <is>
          <t>Printer Paper Box</t>
        </is>
      </c>
      <c r="F530" s="25" t="n">
        <v>5</v>
      </c>
      <c r="G530" s="25" t="n">
        <v>1600</v>
      </c>
      <c r="H530" s="28" t="n">
        <v>0.1</v>
      </c>
      <c r="I530" s="25" t="n">
        <v>1050</v>
      </c>
    </row>
    <row r="531">
      <c r="A531" s="25" t="inlineStr">
        <is>
          <t>ORD-10349</t>
        </is>
      </c>
      <c r="B531" s="26" t="n">
        <v>45783</v>
      </c>
      <c r="C531" s="25" t="inlineStr">
        <is>
          <t>South</t>
        </is>
      </c>
      <c r="D531" s="25" t="inlineStr">
        <is>
          <t>Office Supplies</t>
        </is>
      </c>
      <c r="E531" s="25" t="inlineStr">
        <is>
          <t>Printer Paper Box</t>
        </is>
      </c>
      <c r="F531" s="25" t="n">
        <v>2</v>
      </c>
      <c r="G531" s="25" t="n">
        <v>1600</v>
      </c>
      <c r="H531" s="28" t="n">
        <v>0.15</v>
      </c>
      <c r="I531" s="25" t="n">
        <v>1050</v>
      </c>
    </row>
    <row r="532">
      <c r="A532" s="25" t="inlineStr">
        <is>
          <t>ORD-10181</t>
        </is>
      </c>
      <c r="B532" s="25" t="inlineStr">
        <is>
          <t>15-Jun-2025</t>
        </is>
      </c>
      <c r="C532" s="25" t="inlineStr">
        <is>
          <t>South</t>
        </is>
      </c>
      <c r="D532" s="25" t="inlineStr">
        <is>
          <t>Office Supplies</t>
        </is>
      </c>
      <c r="E532" s="25" t="inlineStr">
        <is>
          <t>Printer Paper Box</t>
        </is>
      </c>
      <c r="F532" s="25" t="n">
        <v>3</v>
      </c>
      <c r="G532" s="25" t="n">
        <v>1600</v>
      </c>
      <c r="H532" s="28" t="n">
        <v>0.05</v>
      </c>
      <c r="I532" s="25" t="n">
        <v>1050</v>
      </c>
    </row>
    <row r="533">
      <c r="A533" s="25" t="inlineStr">
        <is>
          <t>ORD-10741</t>
        </is>
      </c>
      <c r="B533" s="26" t="n">
        <v>45982</v>
      </c>
      <c r="C533" s="25" t="inlineStr">
        <is>
          <t>South</t>
        </is>
      </c>
      <c r="D533" s="25" t="inlineStr">
        <is>
          <t>Furniture</t>
        </is>
      </c>
      <c r="E533" s="25" t="inlineStr">
        <is>
          <t>Bookshelf</t>
        </is>
      </c>
      <c r="F533" s="25" t="n">
        <v>2</v>
      </c>
      <c r="G533" s="25" t="n">
        <v>6200</v>
      </c>
      <c r="H533" s="28" t="n">
        <v>0.15</v>
      </c>
      <c r="I533" s="25" t="n">
        <v>4100</v>
      </c>
    </row>
    <row r="534">
      <c r="A534" s="25" t="inlineStr">
        <is>
          <t>ORD-10975</t>
        </is>
      </c>
      <c r="B534" s="26" t="n">
        <v>45802</v>
      </c>
      <c r="C534" s="25" t="inlineStr">
        <is>
          <t xml:space="preserve"> East</t>
        </is>
      </c>
      <c r="D534" s="25" t="inlineStr">
        <is>
          <t>Office Supplies</t>
        </is>
      </c>
      <c r="E534" s="25" t="inlineStr">
        <is>
          <t>Notebook Set</t>
        </is>
      </c>
      <c r="F534" s="25" t="n">
        <v>2</v>
      </c>
      <c r="G534" s="25" t="n">
        <v>450</v>
      </c>
      <c r="H534" s="28" t="n">
        <v>0</v>
      </c>
      <c r="I534" s="25" t="n">
        <v>190</v>
      </c>
    </row>
    <row r="535">
      <c r="A535" s="25" t="inlineStr">
        <is>
          <t>ORD-10033</t>
        </is>
      </c>
      <c r="B535" s="26" t="n">
        <v>45791</v>
      </c>
      <c r="C535" s="25" t="inlineStr">
        <is>
          <t>North</t>
        </is>
      </c>
      <c r="D535" s="25" t="inlineStr">
        <is>
          <t>Office Supplies</t>
        </is>
      </c>
      <c r="E535" s="25" t="inlineStr">
        <is>
          <t>Printer Paper Box</t>
        </is>
      </c>
      <c r="F535" s="25" t="n">
        <v>2</v>
      </c>
      <c r="G535" s="25" t="n">
        <v>1600</v>
      </c>
      <c r="H535" s="28" t="n">
        <v>0.2</v>
      </c>
      <c r="I535" s="25" t="n">
        <v>1050</v>
      </c>
    </row>
    <row r="536">
      <c r="A536" s="25" t="inlineStr">
        <is>
          <t>ORD-10543</t>
        </is>
      </c>
      <c r="B536" s="26" t="n">
        <v>46004</v>
      </c>
      <c r="C536" s="25" t="inlineStr">
        <is>
          <t>West</t>
        </is>
      </c>
      <c r="D536" s="25" t="inlineStr">
        <is>
          <t>Office Supplies</t>
        </is>
      </c>
      <c r="E536" s="25" t="inlineStr">
        <is>
          <t>Notebook Set</t>
        </is>
      </c>
      <c r="F536" s="25" t="n">
        <v>8</v>
      </c>
      <c r="G536" s="25" t="n">
        <v>450</v>
      </c>
      <c r="H536" s="28" t="n">
        <v>0</v>
      </c>
      <c r="I536" s="25" t="n">
        <v>190</v>
      </c>
    </row>
    <row r="537">
      <c r="A537" s="25" t="inlineStr">
        <is>
          <t>ORD-10024</t>
        </is>
      </c>
      <c r="B537" s="26" t="n">
        <v>45793</v>
      </c>
      <c r="C537" s="25" t="inlineStr">
        <is>
          <t>North</t>
        </is>
      </c>
      <c r="D537" s="25" t="inlineStr">
        <is>
          <t>Office Supplies</t>
        </is>
      </c>
      <c r="E537" s="25" t="inlineStr">
        <is>
          <t>Notebook Set</t>
        </is>
      </c>
      <c r="F537" s="25" t="n">
        <v>7</v>
      </c>
      <c r="G537" s="25" t="n">
        <v>450</v>
      </c>
      <c r="H537" s="28" t="n">
        <v>0.2</v>
      </c>
      <c r="I537" s="25" t="n">
        <v>190</v>
      </c>
    </row>
    <row r="538">
      <c r="A538" s="25" t="inlineStr">
        <is>
          <t>ORD-10719</t>
        </is>
      </c>
      <c r="B538" s="26" t="n">
        <v>45790</v>
      </c>
      <c r="C538" s="25" t="inlineStr">
        <is>
          <t>South</t>
        </is>
      </c>
      <c r="D538" s="25" t="inlineStr">
        <is>
          <t>Office Supplies</t>
        </is>
      </c>
      <c r="E538" s="25" t="inlineStr">
        <is>
          <t>Desk Organizer</t>
        </is>
      </c>
      <c r="F538" s="25" t="n">
        <v>5</v>
      </c>
      <c r="G538" s="25" t="n">
        <v>850</v>
      </c>
      <c r="H538" s="28" t="n">
        <v>0.2</v>
      </c>
      <c r="I538" s="25" t="n">
        <v>420</v>
      </c>
    </row>
    <row r="539">
      <c r="A539" s="25" t="inlineStr">
        <is>
          <t>ORD-11189</t>
        </is>
      </c>
      <c r="B539" s="26" t="n">
        <v>45792</v>
      </c>
      <c r="C539" s="25" t="inlineStr">
        <is>
          <t>North</t>
        </is>
      </c>
      <c r="D539" s="25" t="inlineStr">
        <is>
          <t>Accessories</t>
        </is>
      </c>
      <c r="E539" s="25" t="inlineStr">
        <is>
          <t>USB-C Hub</t>
        </is>
      </c>
      <c r="F539" s="25" t="n">
        <v>2</v>
      </c>
      <c r="G539" s="25" t="n">
        <v>1800</v>
      </c>
      <c r="H539" s="28" t="n">
        <v>0</v>
      </c>
      <c r="I539" s="25" t="n">
        <v>980</v>
      </c>
    </row>
    <row r="540">
      <c r="A540" s="25" t="inlineStr">
        <is>
          <t>ORD-10831</t>
        </is>
      </c>
      <c r="B540" s="25" t="inlineStr">
        <is>
          <t>11-Sep-2025</t>
        </is>
      </c>
      <c r="C540" s="25" t="inlineStr">
        <is>
          <t>East</t>
        </is>
      </c>
      <c r="D540" s="25" t="inlineStr">
        <is>
          <t>Office Supplies</t>
        </is>
      </c>
      <c r="E540" s="25" t="inlineStr">
        <is>
          <t>Notebook Set</t>
        </is>
      </c>
      <c r="F540" s="25" t="n">
        <v>3</v>
      </c>
      <c r="G540" s="25" t="n">
        <v>450</v>
      </c>
      <c r="H540" s="28" t="n">
        <v>0</v>
      </c>
      <c r="I540" s="25" t="n">
        <v>190</v>
      </c>
    </row>
    <row r="541">
      <c r="A541" s="25" t="inlineStr">
        <is>
          <t>ORD-10367</t>
        </is>
      </c>
      <c r="B541" s="26" t="n">
        <v>45933</v>
      </c>
      <c r="C541" s="25" t="inlineStr">
        <is>
          <t>East</t>
        </is>
      </c>
      <c r="D541" s="25" t="inlineStr">
        <is>
          <t>Office Supplies</t>
        </is>
      </c>
      <c r="E541" s="25" t="inlineStr">
        <is>
          <t>Notebook Set</t>
        </is>
      </c>
      <c r="F541" s="25" t="n">
        <v>8</v>
      </c>
      <c r="G541" s="25" t="n">
        <v>450</v>
      </c>
      <c r="H541" s="28" t="n">
        <v>0.2</v>
      </c>
      <c r="I541" s="25" t="n">
        <v>190</v>
      </c>
    </row>
    <row r="542">
      <c r="A542" s="25" t="inlineStr">
        <is>
          <t>ORD-10522</t>
        </is>
      </c>
      <c r="B542" s="25" t="inlineStr">
        <is>
          <t>22-May-2025</t>
        </is>
      </c>
      <c r="C542" s="25" t="inlineStr">
        <is>
          <t>East</t>
        </is>
      </c>
      <c r="D542" s="25" t="inlineStr">
        <is>
          <t>Office Supplies</t>
        </is>
      </c>
      <c r="E542" s="25" t="inlineStr">
        <is>
          <t>Printer Paper Box</t>
        </is>
      </c>
      <c r="F542" s="25" t="n">
        <v>6</v>
      </c>
      <c r="G542" s="25" t="n">
        <v>1600</v>
      </c>
      <c r="H542" s="28" t="n">
        <v>0.05</v>
      </c>
      <c r="I542" s="25" t="n">
        <v>1050</v>
      </c>
    </row>
    <row r="543">
      <c r="A543" s="25" t="inlineStr">
        <is>
          <t>ORD-11051</t>
        </is>
      </c>
      <c r="B543" s="26" t="n">
        <v>45997</v>
      </c>
      <c r="C543" s="25" t="inlineStr">
        <is>
          <t>South</t>
        </is>
      </c>
      <c r="D543" s="25" t="inlineStr">
        <is>
          <t>Office Supplies</t>
        </is>
      </c>
      <c r="E543" s="25" t="inlineStr">
        <is>
          <t>Notebook Set</t>
        </is>
      </c>
      <c r="F543" s="25" t="n">
        <v>3</v>
      </c>
      <c r="G543" s="25" t="n">
        <v>450</v>
      </c>
      <c r="H543" s="28" t="n">
        <v>0</v>
      </c>
      <c r="I543" s="25" t="n">
        <v>190</v>
      </c>
    </row>
    <row r="544">
      <c r="A544" s="25" t="inlineStr">
        <is>
          <t>ORD-10985</t>
        </is>
      </c>
      <c r="B544" s="25" t="inlineStr">
        <is>
          <t>05-May-2025</t>
        </is>
      </c>
      <c r="C544" s="25" t="inlineStr">
        <is>
          <t>South</t>
        </is>
      </c>
      <c r="D544" s="25" t="inlineStr">
        <is>
          <t>Furniture</t>
        </is>
      </c>
      <c r="E544" s="25" t="inlineStr">
        <is>
          <t>Office Chair</t>
        </is>
      </c>
      <c r="F544" s="25" t="n">
        <v>2</v>
      </c>
      <c r="G544" s="25" t="n">
        <v>8500</v>
      </c>
      <c r="H544" s="28" t="n">
        <v>0.2</v>
      </c>
      <c r="I544" s="25" t="n">
        <v>5600</v>
      </c>
    </row>
    <row r="545">
      <c r="A545" s="25" t="inlineStr">
        <is>
          <t>ORD-10709</t>
        </is>
      </c>
      <c r="B545" s="25" t="inlineStr">
        <is>
          <t>15-Jan-2025</t>
        </is>
      </c>
      <c r="C545" s="25" t="inlineStr">
        <is>
          <t>West</t>
        </is>
      </c>
      <c r="D545" s="25" t="inlineStr">
        <is>
          <t>Furniture</t>
        </is>
      </c>
      <c r="E545" s="25" t="inlineStr">
        <is>
          <t>Bookshelf</t>
        </is>
      </c>
      <c r="F545" s="25" t="n">
        <v>3</v>
      </c>
      <c r="G545" s="25" t="n">
        <v>6200</v>
      </c>
      <c r="H545" s="28" t="n">
        <v>0</v>
      </c>
      <c r="I545" s="25" t="n">
        <v>4100</v>
      </c>
    </row>
    <row r="546">
      <c r="A546" s="25" t="inlineStr">
        <is>
          <t>ORD-10875</t>
        </is>
      </c>
      <c r="B546" s="26" t="n">
        <v>45986</v>
      </c>
      <c r="C546" s="25" t="inlineStr">
        <is>
          <t>NORTH</t>
        </is>
      </c>
      <c r="D546" s="25" t="inlineStr">
        <is>
          <t>Furniture</t>
        </is>
      </c>
      <c r="E546" s="25" t="inlineStr">
        <is>
          <t>Bookshelf</t>
        </is>
      </c>
      <c r="F546" s="25" t="n">
        <v>3</v>
      </c>
      <c r="G546" s="25" t="n">
        <v>6200</v>
      </c>
      <c r="H546" s="28" t="n">
        <v>0</v>
      </c>
      <c r="I546" s="25" t="n">
        <v>4100</v>
      </c>
    </row>
    <row r="547">
      <c r="A547" s="25" t="inlineStr">
        <is>
          <t>ORD-10993</t>
        </is>
      </c>
      <c r="B547" s="25" t="inlineStr">
        <is>
          <t>09-Mar-2025</t>
        </is>
      </c>
      <c r="C547" s="25" t="inlineStr">
        <is>
          <t>north</t>
        </is>
      </c>
      <c r="D547" s="25" t="inlineStr">
        <is>
          <t>Furniture</t>
        </is>
      </c>
      <c r="E547" s="25" t="inlineStr">
        <is>
          <t>Standing Desk</t>
        </is>
      </c>
      <c r="F547" s="25" t="n">
        <v>2</v>
      </c>
      <c r="G547" s="25" t="n">
        <v>19500</v>
      </c>
      <c r="H547" s="28" t="n">
        <v>0</v>
      </c>
      <c r="I547" s="25" t="n">
        <v>13800</v>
      </c>
    </row>
    <row r="548">
      <c r="A548" s="25" t="inlineStr">
        <is>
          <t>ORD-10970</t>
        </is>
      </c>
      <c r="B548" s="26" t="n">
        <v>45880</v>
      </c>
      <c r="C548" s="25" t="inlineStr">
        <is>
          <t>North</t>
        </is>
      </c>
      <c r="D548" s="25" t="inlineStr">
        <is>
          <t>Furniture</t>
        </is>
      </c>
      <c r="E548" s="25" t="inlineStr">
        <is>
          <t>Standing Desk</t>
        </is>
      </c>
      <c r="F548" s="25" t="n">
        <v>2</v>
      </c>
      <c r="G548" s="25" t="n">
        <v>19500</v>
      </c>
      <c r="H548" s="28" t="n">
        <v>0.2</v>
      </c>
      <c r="I548" s="25" t="n">
        <v>13800</v>
      </c>
    </row>
    <row r="549">
      <c r="A549" s="25" t="inlineStr">
        <is>
          <t>ORD-10042</t>
        </is>
      </c>
      <c r="B549" s="25" t="inlineStr">
        <is>
          <t>16-May-2025</t>
        </is>
      </c>
      <c r="C549" s="25" t="inlineStr">
        <is>
          <t>South</t>
        </is>
      </c>
      <c r="D549" s="25" t="inlineStr">
        <is>
          <t>Furniture</t>
        </is>
      </c>
      <c r="E549" s="25" t="inlineStr">
        <is>
          <t>Standing Desk</t>
        </is>
      </c>
      <c r="F549" s="25" t="n">
        <v>1</v>
      </c>
      <c r="G549" s="25" t="n">
        <v>19500</v>
      </c>
      <c r="H549" s="28" t="n">
        <v>0.05</v>
      </c>
      <c r="I549" s="25" t="n">
        <v>13800</v>
      </c>
    </row>
    <row r="550">
      <c r="A550" s="25" t="inlineStr">
        <is>
          <t>ORD-10363</t>
        </is>
      </c>
      <c r="B550" s="26" t="n">
        <v>45925</v>
      </c>
      <c r="C550" s="25" t="inlineStr">
        <is>
          <t>West</t>
        </is>
      </c>
      <c r="D550" s="25" t="inlineStr">
        <is>
          <t>Accessories</t>
        </is>
      </c>
      <c r="E550" s="25" t="inlineStr">
        <is>
          <t>USB-C Hub</t>
        </is>
      </c>
      <c r="F550" s="25" t="n">
        <v>1</v>
      </c>
      <c r="G550" s="25" t="n">
        <v>1800</v>
      </c>
      <c r="H550" s="28" t="n">
        <v>0</v>
      </c>
      <c r="I550" s="25" t="n">
        <v>980</v>
      </c>
    </row>
    <row r="551">
      <c r="A551" s="25" t="inlineStr">
        <is>
          <t>ORD-10647</t>
        </is>
      </c>
      <c r="B551" s="26" t="n">
        <v>45893</v>
      </c>
      <c r="C551" s="25" t="inlineStr">
        <is>
          <t>South</t>
        </is>
      </c>
      <c r="D551" s="25" t="inlineStr">
        <is>
          <t>Office Supplies</t>
        </is>
      </c>
      <c r="E551" s="25" t="inlineStr">
        <is>
          <t>Desk Organizer</t>
        </is>
      </c>
      <c r="F551" s="25" t="n">
        <v>2</v>
      </c>
      <c r="G551" s="25" t="n">
        <v>850</v>
      </c>
      <c r="H551" s="28" t="n">
        <v>0</v>
      </c>
      <c r="I551" s="25" t="n">
        <v>420</v>
      </c>
    </row>
    <row r="552">
      <c r="A552" s="25" t="inlineStr">
        <is>
          <t>ORD-10136</t>
        </is>
      </c>
      <c r="B552" s="25" t="inlineStr">
        <is>
          <t>03-Nov-2025</t>
        </is>
      </c>
      <c r="C552" s="25" t="inlineStr">
        <is>
          <t>South</t>
        </is>
      </c>
      <c r="D552" s="25" t="inlineStr">
        <is>
          <t>Accessories</t>
        </is>
      </c>
      <c r="E552" s="25" t="inlineStr">
        <is>
          <t>USB-C Hub</t>
        </is>
      </c>
      <c r="F552" s="25" t="n">
        <v>4</v>
      </c>
      <c r="G552" s="25" t="n">
        <v>1800</v>
      </c>
      <c r="H552" s="28" t="n">
        <v>0.15</v>
      </c>
      <c r="I552" s="25" t="n">
        <v>980</v>
      </c>
    </row>
    <row r="553">
      <c r="A553" s="25" t="inlineStr">
        <is>
          <t>ORD-10768</t>
        </is>
      </c>
      <c r="B553" s="26" t="n">
        <v>45828</v>
      </c>
      <c r="C553" s="25" t="inlineStr">
        <is>
          <t>West</t>
        </is>
      </c>
      <c r="D553" s="25" t="inlineStr">
        <is>
          <t>Furniture</t>
        </is>
      </c>
      <c r="E553" s="25" t="inlineStr">
        <is>
          <t>Bookshelf</t>
        </is>
      </c>
      <c r="F553" s="25" t="n">
        <v>3</v>
      </c>
      <c r="G553" s="25" t="n">
        <v>6200</v>
      </c>
      <c r="H553" s="28" t="n">
        <v>0.2</v>
      </c>
      <c r="I553" s="25" t="n">
        <v>4100</v>
      </c>
    </row>
    <row r="554">
      <c r="A554" s="25" t="inlineStr">
        <is>
          <t>ORD-10189</t>
        </is>
      </c>
      <c r="B554" s="26" t="n">
        <v>45986</v>
      </c>
      <c r="C554" s="25" t="inlineStr">
        <is>
          <t>West</t>
        </is>
      </c>
      <c r="D554" s="25" t="inlineStr">
        <is>
          <t>Furniture</t>
        </is>
      </c>
      <c r="E554" s="25" t="inlineStr">
        <is>
          <t>Office Chair</t>
        </is>
      </c>
      <c r="F554" s="25" t="n">
        <v>2</v>
      </c>
      <c r="G554" s="25" t="n">
        <v>8500</v>
      </c>
      <c r="H554" s="28" t="n">
        <v>0</v>
      </c>
      <c r="I554" s="25" t="n">
        <v>5600</v>
      </c>
    </row>
    <row r="555">
      <c r="A555" s="25" t="inlineStr">
        <is>
          <t>ORD-10267</t>
        </is>
      </c>
      <c r="B555" s="26" t="n">
        <v>46001</v>
      </c>
      <c r="C555" s="25" t="inlineStr">
        <is>
          <t>South</t>
        </is>
      </c>
      <c r="D555" s="25" t="inlineStr">
        <is>
          <t>Office Supplies</t>
        </is>
      </c>
      <c r="E555" s="25" t="inlineStr">
        <is>
          <t>Printer Paper Box</t>
        </is>
      </c>
      <c r="F555" s="25" t="n">
        <v>1</v>
      </c>
      <c r="G555" s="25" t="n">
        <v>1600</v>
      </c>
      <c r="H555" s="28" t="n">
        <v>0.15</v>
      </c>
      <c r="I555" s="25" t="n">
        <v>1050</v>
      </c>
    </row>
    <row r="556">
      <c r="A556" s="25" t="inlineStr">
        <is>
          <t>ORD-10564</t>
        </is>
      </c>
      <c r="B556" s="26" t="n">
        <v>45706</v>
      </c>
      <c r="C556" s="25" t="inlineStr">
        <is>
          <t>West</t>
        </is>
      </c>
      <c r="D556" s="25" t="inlineStr">
        <is>
          <t>Office Supplies</t>
        </is>
      </c>
      <c r="E556" s="25" t="inlineStr">
        <is>
          <t>Notebook Set</t>
        </is>
      </c>
      <c r="F556" s="25" t="n">
        <v>8</v>
      </c>
      <c r="G556" s="25" t="n">
        <v>450</v>
      </c>
      <c r="H556" s="28" t="n">
        <v>0</v>
      </c>
      <c r="I556" s="25" t="n">
        <v>190</v>
      </c>
    </row>
    <row r="557">
      <c r="A557" s="25" t="inlineStr">
        <is>
          <t>ORD-11044</t>
        </is>
      </c>
      <c r="B557" s="25" t="inlineStr">
        <is>
          <t>07-Feb-2025</t>
        </is>
      </c>
      <c r="C557" s="25" t="inlineStr">
        <is>
          <t xml:space="preserve">West </t>
        </is>
      </c>
      <c r="D557" s="25" t="inlineStr">
        <is>
          <t>Office Supplies</t>
        </is>
      </c>
      <c r="E557" s="25" t="inlineStr">
        <is>
          <t>Printer Paper Box</t>
        </is>
      </c>
      <c r="F557" s="25" t="n">
        <v>2</v>
      </c>
      <c r="G557" s="25" t="n">
        <v>1600</v>
      </c>
      <c r="H557" s="28" t="n">
        <v>0</v>
      </c>
      <c r="I557" s="25" t="n">
        <v>1050</v>
      </c>
    </row>
    <row r="558">
      <c r="A558" s="25" t="inlineStr">
        <is>
          <t>ORD-10107</t>
        </is>
      </c>
      <c r="B558" s="26" t="n">
        <v>45919</v>
      </c>
      <c r="C558" s="25" t="inlineStr">
        <is>
          <t>North</t>
        </is>
      </c>
      <c r="D558" s="25" t="inlineStr">
        <is>
          <t>Technology</t>
        </is>
      </c>
      <c r="E558" s="25" t="inlineStr">
        <is>
          <t>Wireless Mouse</t>
        </is>
      </c>
      <c r="F558" s="25" t="n">
        <v>2</v>
      </c>
      <c r="G558" s="25" t="n">
        <v>1200</v>
      </c>
      <c r="H558" s="28" t="n">
        <v>0.05</v>
      </c>
      <c r="I558" s="25" t="n">
        <v>650</v>
      </c>
    </row>
    <row r="559">
      <c r="A559" s="25" t="inlineStr">
        <is>
          <t>ORD-10905</t>
        </is>
      </c>
      <c r="B559" s="26" t="n">
        <v>45742</v>
      </c>
      <c r="C559" s="25" t="inlineStr">
        <is>
          <t>West</t>
        </is>
      </c>
      <c r="D559" s="25" t="inlineStr">
        <is>
          <t>Furniture</t>
        </is>
      </c>
      <c r="E559" s="25" t="inlineStr">
        <is>
          <t>Bookshelf</t>
        </is>
      </c>
      <c r="F559" s="25" t="n">
        <v>3</v>
      </c>
      <c r="G559" s="25" t="n">
        <v>6200</v>
      </c>
      <c r="H559" s="28" t="n">
        <v>0.15</v>
      </c>
      <c r="I559" s="25" t="n">
        <v>4100</v>
      </c>
    </row>
    <row r="560">
      <c r="A560" s="25" t="inlineStr">
        <is>
          <t>ORD-10122</t>
        </is>
      </c>
      <c r="B560" s="26" t="n">
        <v>46012</v>
      </c>
      <c r="C560" s="25" t="inlineStr">
        <is>
          <t>South</t>
        </is>
      </c>
      <c r="D560" s="25" t="inlineStr">
        <is>
          <t>Technology</t>
        </is>
      </c>
      <c r="E560" s="25" t="inlineStr">
        <is>
          <t>Monitor 24"</t>
        </is>
      </c>
      <c r="F560" s="25" t="n">
        <v>1</v>
      </c>
      <c r="G560" s="25" t="n">
        <v>11500</v>
      </c>
      <c r="H560" s="28" t="n">
        <v>0.15</v>
      </c>
      <c r="I560" s="25" t="n">
        <v>8200</v>
      </c>
    </row>
    <row r="561">
      <c r="A561" s="25" t="inlineStr">
        <is>
          <t>ORD-10692</t>
        </is>
      </c>
      <c r="B561" s="26" t="n">
        <v>45994</v>
      </c>
      <c r="C561" s="25" t="inlineStr">
        <is>
          <t>South</t>
        </is>
      </c>
      <c r="D561" s="25" t="inlineStr">
        <is>
          <t>Technology</t>
        </is>
      </c>
      <c r="E561" s="25" t="inlineStr">
        <is>
          <t>Mechanical Keyboard</t>
        </is>
      </c>
      <c r="F561" s="25" t="n">
        <v>1</v>
      </c>
      <c r="G561" s="25" t="n">
        <v>4200</v>
      </c>
      <c r="H561" s="28" t="n">
        <v>0</v>
      </c>
      <c r="I561" s="25" t="n">
        <v>2500</v>
      </c>
    </row>
    <row r="562">
      <c r="A562" s="25" t="inlineStr">
        <is>
          <t>ORD-10052</t>
        </is>
      </c>
      <c r="B562" s="26" t="n">
        <v>45793</v>
      </c>
      <c r="C562" s="25" t="inlineStr">
        <is>
          <t>North</t>
        </is>
      </c>
      <c r="D562" s="25" t="inlineStr">
        <is>
          <t>Office Supplies</t>
        </is>
      </c>
      <c r="E562" s="25" t="inlineStr">
        <is>
          <t>Notebook Set</t>
        </is>
      </c>
      <c r="F562" s="25" t="n">
        <v>7</v>
      </c>
      <c r="G562" s="25" t="n">
        <v>450</v>
      </c>
      <c r="H562" s="28" t="n">
        <v>0</v>
      </c>
      <c r="I562" s="25" t="n">
        <v>190</v>
      </c>
    </row>
    <row r="563">
      <c r="A563" s="25" t="inlineStr">
        <is>
          <t>ORD-10477</t>
        </is>
      </c>
      <c r="B563" s="26" t="n">
        <v>45735</v>
      </c>
      <c r="C563" s="25" t="inlineStr">
        <is>
          <t xml:space="preserve"> North </t>
        </is>
      </c>
      <c r="D563" s="25" t="inlineStr">
        <is>
          <t>Accessories</t>
        </is>
      </c>
      <c r="E563" s="25" t="inlineStr">
        <is>
          <t>Webcam</t>
        </is>
      </c>
      <c r="F563" s="25" t="n">
        <v>1</v>
      </c>
      <c r="G563" s="25" t="n">
        <v>3200</v>
      </c>
      <c r="H563" s="28" t="n">
        <v>0</v>
      </c>
      <c r="I563" s="25" t="n">
        <v>1900</v>
      </c>
    </row>
    <row r="564">
      <c r="A564" s="25" t="inlineStr">
        <is>
          <t>ORD-10671</t>
        </is>
      </c>
      <c r="B564" s="26" t="n">
        <v>45758</v>
      </c>
      <c r="C564" s="25" t="inlineStr">
        <is>
          <t>South</t>
        </is>
      </c>
      <c r="D564" s="25" t="inlineStr">
        <is>
          <t>Office Supplies</t>
        </is>
      </c>
      <c r="E564" s="25" t="inlineStr">
        <is>
          <t>Notebook Set</t>
        </is>
      </c>
      <c r="F564" s="25" t="n">
        <v>7</v>
      </c>
      <c r="G564" s="25" t="n">
        <v>450</v>
      </c>
      <c r="H564" s="28" t="n">
        <v>0.1</v>
      </c>
      <c r="I564" s="25" t="n">
        <v>190</v>
      </c>
    </row>
    <row r="565">
      <c r="A565" s="25" t="inlineStr">
        <is>
          <t>ORD-10654</t>
        </is>
      </c>
      <c r="B565" s="25" t="inlineStr">
        <is>
          <t>22-Oct-2025</t>
        </is>
      </c>
      <c r="C565" s="25" t="inlineStr">
        <is>
          <t>West</t>
        </is>
      </c>
      <c r="D565" s="25" t="inlineStr">
        <is>
          <t>Accessories</t>
        </is>
      </c>
      <c r="E565" s="25" t="inlineStr">
        <is>
          <t>USB-C Hub</t>
        </is>
      </c>
      <c r="F565" s="25" t="n">
        <v>4</v>
      </c>
      <c r="G565" s="25" t="n">
        <v>1800</v>
      </c>
      <c r="H565" s="28" t="n">
        <v>0</v>
      </c>
      <c r="I565" s="25" t="n">
        <v>980</v>
      </c>
    </row>
    <row r="566">
      <c r="A566" s="25" t="inlineStr">
        <is>
          <t>ORD-10608</t>
        </is>
      </c>
      <c r="B566" s="25" t="inlineStr">
        <is>
          <t>07-Oct-2025</t>
        </is>
      </c>
      <c r="C566" s="25" t="inlineStr">
        <is>
          <t>West</t>
        </is>
      </c>
      <c r="D566" s="25" t="inlineStr">
        <is>
          <t>Technology</t>
        </is>
      </c>
      <c r="E566" s="25" t="inlineStr">
        <is>
          <t>Wireless Mouse</t>
        </is>
      </c>
      <c r="F566" s="25" t="n">
        <v>1</v>
      </c>
      <c r="G566" s="25" t="n">
        <v>1200</v>
      </c>
      <c r="H566" s="28" t="n">
        <v>0.2</v>
      </c>
      <c r="I566" s="25" t="n">
        <v>650</v>
      </c>
    </row>
    <row r="567">
      <c r="A567" s="25" t="inlineStr">
        <is>
          <t>ORD-11169</t>
        </is>
      </c>
      <c r="B567" s="25" t="inlineStr">
        <is>
          <t>04-Jul-2025</t>
        </is>
      </c>
      <c r="C567" s="25" t="inlineStr">
        <is>
          <t>South</t>
        </is>
      </c>
      <c r="D567" s="25" t="inlineStr">
        <is>
          <t>Technology</t>
        </is>
      </c>
      <c r="E567" s="25" t="inlineStr">
        <is>
          <t>Monitor 24"</t>
        </is>
      </c>
      <c r="F567" s="25" t="n">
        <v>1</v>
      </c>
      <c r="G567" s="25" t="n">
        <v>11500</v>
      </c>
      <c r="H567" s="28" t="n">
        <v>0</v>
      </c>
      <c r="I567" s="25" t="n">
        <v>8200</v>
      </c>
    </row>
    <row r="568">
      <c r="A568" s="25" t="inlineStr">
        <is>
          <t>ORD-10104</t>
        </is>
      </c>
      <c r="B568" s="26" t="n">
        <v>45697</v>
      </c>
      <c r="C568" s="25" t="inlineStr">
        <is>
          <t>North</t>
        </is>
      </c>
      <c r="D568" s="25" t="inlineStr">
        <is>
          <t>Office Supplies</t>
        </is>
      </c>
      <c r="E568" s="25" t="inlineStr">
        <is>
          <t>Printer Paper Box</t>
        </is>
      </c>
      <c r="F568" s="25" t="n">
        <v>2</v>
      </c>
      <c r="G568" s="25" t="n">
        <v>1600</v>
      </c>
      <c r="H568" s="28" t="n">
        <v>0.05</v>
      </c>
      <c r="I568" s="25" t="n">
        <v>1050</v>
      </c>
    </row>
    <row r="569">
      <c r="A569" s="25" t="inlineStr">
        <is>
          <t>ORD-10946</t>
        </is>
      </c>
      <c r="B569" s="26" t="n">
        <v>45701</v>
      </c>
      <c r="C569" s="25" t="inlineStr">
        <is>
          <t>south</t>
        </is>
      </c>
      <c r="D569" s="25" t="inlineStr">
        <is>
          <t>Office Supplies</t>
        </is>
      </c>
      <c r="E569" s="25" t="inlineStr">
        <is>
          <t>Notebook Set</t>
        </is>
      </c>
      <c r="F569" s="25" t="n">
        <v>6</v>
      </c>
      <c r="G569" s="25" t="n">
        <v>450</v>
      </c>
      <c r="H569" s="28" t="n">
        <v>0.2</v>
      </c>
      <c r="I569" s="25" t="n">
        <v>190</v>
      </c>
    </row>
    <row r="570">
      <c r="A570" s="25" t="inlineStr">
        <is>
          <t>ORD-10757</t>
        </is>
      </c>
      <c r="B570" s="26" t="n">
        <v>46001</v>
      </c>
      <c r="C570" s="25" t="inlineStr">
        <is>
          <t>East</t>
        </is>
      </c>
      <c r="D570" s="25" t="inlineStr">
        <is>
          <t>Furniture</t>
        </is>
      </c>
      <c r="E570" s="25" t="inlineStr">
        <is>
          <t>Office Chair</t>
        </is>
      </c>
      <c r="F570" s="25" t="n">
        <v>1</v>
      </c>
      <c r="G570" s="25" t="n">
        <v>8500</v>
      </c>
      <c r="H570" s="28" t="n">
        <v>0.15</v>
      </c>
      <c r="I570" s="25" t="n">
        <v>5600</v>
      </c>
    </row>
    <row r="571">
      <c r="A571" s="25" t="inlineStr">
        <is>
          <t>ORD-10845</t>
        </is>
      </c>
      <c r="B571" s="26" t="n">
        <v>45905</v>
      </c>
      <c r="C571" s="25" t="inlineStr">
        <is>
          <t>East</t>
        </is>
      </c>
      <c r="D571" s="25" t="inlineStr">
        <is>
          <t>Accessories</t>
        </is>
      </c>
      <c r="E571" s="25" t="inlineStr">
        <is>
          <t>USB-C Hub</t>
        </is>
      </c>
      <c r="F571" s="25" t="n">
        <v>1</v>
      </c>
      <c r="G571" s="25" t="n">
        <v>1800</v>
      </c>
      <c r="H571" s="28" t="n">
        <v>0</v>
      </c>
      <c r="I571" s="25" t="n">
        <v>980</v>
      </c>
    </row>
    <row r="572">
      <c r="A572" s="25" t="inlineStr">
        <is>
          <t>ORD-10887</t>
        </is>
      </c>
      <c r="B572" s="26" t="n">
        <v>46000</v>
      </c>
      <c r="C572" s="25" t="inlineStr">
        <is>
          <t>South</t>
        </is>
      </c>
      <c r="D572" s="25" t="inlineStr">
        <is>
          <t>Accessories</t>
        </is>
      </c>
      <c r="E572" s="25" t="inlineStr">
        <is>
          <t>Headphones</t>
        </is>
      </c>
      <c r="F572" s="25" t="n">
        <v>1</v>
      </c>
      <c r="G572" s="25" t="n">
        <v>4500</v>
      </c>
      <c r="H572" s="28" t="n">
        <v>0</v>
      </c>
      <c r="I572" s="25" t="n">
        <v>2600</v>
      </c>
    </row>
    <row r="573">
      <c r="A573" s="25" t="inlineStr">
        <is>
          <t>ORD-10243</t>
        </is>
      </c>
      <c r="B573" s="25" t="inlineStr">
        <is>
          <t>22-Sep-2025</t>
        </is>
      </c>
      <c r="C573" s="25" t="inlineStr">
        <is>
          <t>South</t>
        </is>
      </c>
      <c r="D573" s="25" t="inlineStr">
        <is>
          <t>Accessories</t>
        </is>
      </c>
      <c r="E573" s="25" t="inlineStr">
        <is>
          <t>Webcam</t>
        </is>
      </c>
      <c r="F573" s="25" t="n">
        <v>3</v>
      </c>
      <c r="G573" s="25" t="n">
        <v>3200</v>
      </c>
      <c r="H573" s="28" t="n">
        <v>0</v>
      </c>
      <c r="I573" s="25" t="n">
        <v>1900</v>
      </c>
    </row>
    <row r="574">
      <c r="A574" s="25" t="inlineStr">
        <is>
          <t>ORD-10591</t>
        </is>
      </c>
      <c r="B574" s="26" t="n">
        <v>46001</v>
      </c>
      <c r="C574" s="25" t="inlineStr">
        <is>
          <t>East</t>
        </is>
      </c>
      <c r="D574" s="25" t="inlineStr">
        <is>
          <t>Technology</t>
        </is>
      </c>
      <c r="E574" s="25" t="inlineStr">
        <is>
          <t>Monitor 24"</t>
        </is>
      </c>
      <c r="F574" s="25" t="n">
        <v>1</v>
      </c>
      <c r="G574" s="25" t="n">
        <v>11500</v>
      </c>
      <c r="H574" s="28" t="n">
        <v>0.1</v>
      </c>
      <c r="I574" s="25" t="n">
        <v>8200</v>
      </c>
    </row>
    <row r="575">
      <c r="A575" s="25" t="inlineStr">
        <is>
          <t>ORD-10706</t>
        </is>
      </c>
      <c r="B575" s="26" t="n">
        <v>45762</v>
      </c>
      <c r="C575" s="25" t="inlineStr">
        <is>
          <t>East</t>
        </is>
      </c>
      <c r="D575" s="25" t="inlineStr">
        <is>
          <t>Furniture</t>
        </is>
      </c>
      <c r="E575" s="25" t="inlineStr">
        <is>
          <t>Bookshelf</t>
        </is>
      </c>
      <c r="F575" s="25" t="n">
        <v>1</v>
      </c>
      <c r="G575" s="25" t="n">
        <v>6200</v>
      </c>
      <c r="H575" s="28" t="n">
        <v>0.05</v>
      </c>
      <c r="I575" s="25" t="n">
        <v>4100</v>
      </c>
    </row>
    <row r="576">
      <c r="A576" s="25" t="inlineStr">
        <is>
          <t>ORD-10300</t>
        </is>
      </c>
      <c r="B576" s="26" t="n">
        <v>45758</v>
      </c>
      <c r="C576" s="25" t="inlineStr">
        <is>
          <t>West</t>
        </is>
      </c>
      <c r="D576" s="25" t="inlineStr">
        <is>
          <t>Furniture</t>
        </is>
      </c>
      <c r="E576" s="25" t="inlineStr">
        <is>
          <t>Office Chair</t>
        </is>
      </c>
      <c r="F576" s="25" t="n">
        <v>1</v>
      </c>
      <c r="G576" s="25" t="n">
        <v>8500</v>
      </c>
      <c r="H576" s="28" t="n">
        <v>0</v>
      </c>
      <c r="I576" s="25" t="n">
        <v>5600</v>
      </c>
    </row>
    <row r="577">
      <c r="A577" s="25" t="inlineStr">
        <is>
          <t>ORD-10425</t>
        </is>
      </c>
      <c r="B577" s="25" t="inlineStr">
        <is>
          <t>12-Aug-2025</t>
        </is>
      </c>
      <c r="C577" s="25" t="inlineStr">
        <is>
          <t>West</t>
        </is>
      </c>
      <c r="D577" s="25" t="inlineStr">
        <is>
          <t>Office Supplies</t>
        </is>
      </c>
      <c r="E577" s="25" t="inlineStr">
        <is>
          <t>Printer Paper Box</t>
        </is>
      </c>
      <c r="F577" s="25" t="n">
        <v>5</v>
      </c>
      <c r="G577" s="25" t="n">
        <v>1600</v>
      </c>
      <c r="H577" s="28" t="n">
        <v>0.1</v>
      </c>
      <c r="I577" s="25" t="n">
        <v>1050</v>
      </c>
    </row>
    <row r="578">
      <c r="A578" s="25" t="inlineStr">
        <is>
          <t>ORD-11162</t>
        </is>
      </c>
      <c r="B578" s="26" t="n">
        <v>45919</v>
      </c>
      <c r="C578" s="25" t="inlineStr">
        <is>
          <t>West</t>
        </is>
      </c>
      <c r="D578" s="25" t="inlineStr">
        <is>
          <t>Technology</t>
        </is>
      </c>
      <c r="E578" s="25" t="inlineStr">
        <is>
          <t>Mechanical Keyboard</t>
        </is>
      </c>
      <c r="F578" s="25" t="n">
        <v>3</v>
      </c>
      <c r="G578" s="25" t="n">
        <v>4200</v>
      </c>
      <c r="H578" s="28" t="n">
        <v>0</v>
      </c>
      <c r="I578" s="25" t="n">
        <v>2500</v>
      </c>
    </row>
    <row r="579">
      <c r="A579" s="25" t="inlineStr">
        <is>
          <t>ORD-10297</t>
        </is>
      </c>
      <c r="B579" s="26" t="n">
        <v>45725</v>
      </c>
      <c r="C579" s="25" t="inlineStr">
        <is>
          <t>West</t>
        </is>
      </c>
      <c r="D579" s="25" t="inlineStr">
        <is>
          <t>Technology</t>
        </is>
      </c>
      <c r="E579" s="25" t="inlineStr">
        <is>
          <t>Monitor 24"</t>
        </is>
      </c>
      <c r="F579" s="25" t="n">
        <v>1</v>
      </c>
      <c r="G579" s="25" t="n">
        <v>11500</v>
      </c>
      <c r="H579" s="28" t="n">
        <v>0</v>
      </c>
      <c r="I579" s="25" t="n">
        <v>8200</v>
      </c>
    </row>
    <row r="580">
      <c r="A580" s="25" t="inlineStr">
        <is>
          <t>ORD-10184</t>
        </is>
      </c>
      <c r="B580" s="26" t="n">
        <v>46007</v>
      </c>
      <c r="C580" s="25" t="inlineStr">
        <is>
          <t>West</t>
        </is>
      </c>
      <c r="D580" s="25" t="inlineStr">
        <is>
          <t>Accessories</t>
        </is>
      </c>
      <c r="E580" s="25" t="inlineStr">
        <is>
          <t>Webcam</t>
        </is>
      </c>
      <c r="F580" s="25" t="n">
        <v>2</v>
      </c>
      <c r="G580" s="25" t="n">
        <v>3200</v>
      </c>
      <c r="H580" s="28" t="n">
        <v>0.05</v>
      </c>
      <c r="I580" s="25" t="n">
        <v>1900</v>
      </c>
    </row>
    <row r="581">
      <c r="A581" s="25" t="inlineStr">
        <is>
          <t>ORD-10386</t>
        </is>
      </c>
      <c r="B581" s="26" t="n">
        <v>45709</v>
      </c>
      <c r="C581" s="25" t="inlineStr">
        <is>
          <t>EAST</t>
        </is>
      </c>
      <c r="D581" s="25" t="inlineStr">
        <is>
          <t>Accessories</t>
        </is>
      </c>
      <c r="E581" s="25" t="inlineStr">
        <is>
          <t>USB-C Hub</t>
        </is>
      </c>
      <c r="F581" s="25" t="n">
        <v>3</v>
      </c>
      <c r="G581" s="25" t="n">
        <v>1800</v>
      </c>
      <c r="H581" s="28" t="n">
        <v>0</v>
      </c>
      <c r="I581" s="25" t="n">
        <v>980</v>
      </c>
    </row>
    <row r="582">
      <c r="A582" s="25" t="inlineStr">
        <is>
          <t>ORD-10533</t>
        </is>
      </c>
      <c r="B582" s="26" t="n">
        <v>45862</v>
      </c>
      <c r="C582" s="25" t="inlineStr">
        <is>
          <t>South</t>
        </is>
      </c>
      <c r="D582" s="25" t="inlineStr">
        <is>
          <t>Office Supplies</t>
        </is>
      </c>
      <c r="E582" s="25" t="inlineStr">
        <is>
          <t>Desk Organizer</t>
        </is>
      </c>
      <c r="F582" s="25" t="n">
        <v>5</v>
      </c>
      <c r="G582" s="25" t="n">
        <v>850</v>
      </c>
      <c r="H582" s="28" t="n">
        <v>0</v>
      </c>
      <c r="I582" s="25" t="n">
        <v>420</v>
      </c>
    </row>
    <row r="583">
      <c r="A583" s="25" t="inlineStr">
        <is>
          <t>ORD-10773</t>
        </is>
      </c>
      <c r="B583" s="25" t="inlineStr">
        <is>
          <t>23-Dec-2025</t>
        </is>
      </c>
      <c r="C583" s="25" t="inlineStr">
        <is>
          <t>North</t>
        </is>
      </c>
      <c r="D583" s="25" t="inlineStr">
        <is>
          <t>Office Supplies</t>
        </is>
      </c>
      <c r="E583" s="25" t="inlineStr">
        <is>
          <t>Notebook Set</t>
        </is>
      </c>
      <c r="F583" s="25" t="n">
        <v>1</v>
      </c>
      <c r="G583" s="25" t="n">
        <v>450</v>
      </c>
      <c r="H583" s="28" t="n">
        <v>0.05</v>
      </c>
      <c r="I583" s="25" t="n">
        <v>190</v>
      </c>
    </row>
    <row r="584">
      <c r="A584" s="25" t="inlineStr">
        <is>
          <t>ORD-10888</t>
        </is>
      </c>
      <c r="B584" s="25" t="inlineStr">
        <is>
          <t>13-Nov-2025</t>
        </is>
      </c>
      <c r="C584" s="25" t="inlineStr">
        <is>
          <t>South</t>
        </is>
      </c>
      <c r="D584" s="25" t="inlineStr">
        <is>
          <t>Technology</t>
        </is>
      </c>
      <c r="E584" s="25" t="inlineStr">
        <is>
          <t>Mechanical Keyboard</t>
        </is>
      </c>
      <c r="F584" s="25" t="n">
        <v>1</v>
      </c>
      <c r="G584" s="25" t="n">
        <v>4200</v>
      </c>
      <c r="H584" s="28" t="n">
        <v>0</v>
      </c>
      <c r="I584" s="25" t="n">
        <v>2500</v>
      </c>
    </row>
    <row r="585">
      <c r="A585" s="25" t="inlineStr">
        <is>
          <t>ORD-10891</t>
        </is>
      </c>
      <c r="B585" s="26" t="n">
        <v>45661</v>
      </c>
      <c r="C585" s="25" t="inlineStr">
        <is>
          <t>West</t>
        </is>
      </c>
      <c r="D585" s="25" t="inlineStr">
        <is>
          <t>Accessories</t>
        </is>
      </c>
      <c r="E585" s="25" t="inlineStr">
        <is>
          <t>Webcam</t>
        </is>
      </c>
      <c r="F585" s="25" t="n">
        <v>2</v>
      </c>
      <c r="G585" s="25" t="n">
        <v>3200</v>
      </c>
      <c r="H585" s="28" t="n">
        <v>0</v>
      </c>
      <c r="I585" s="25" t="n">
        <v>1900</v>
      </c>
    </row>
    <row r="586">
      <c r="A586" s="25" t="inlineStr">
        <is>
          <t>ORD-10830</t>
        </is>
      </c>
      <c r="B586" s="26" t="n">
        <v>45831</v>
      </c>
      <c r="C586" s="25" t="inlineStr">
        <is>
          <t>West</t>
        </is>
      </c>
      <c r="D586" s="25" t="inlineStr">
        <is>
          <t>Office Supplies</t>
        </is>
      </c>
      <c r="E586" s="25" t="inlineStr">
        <is>
          <t>Notebook Set</t>
        </is>
      </c>
      <c r="F586" s="25" t="n">
        <v>1</v>
      </c>
      <c r="G586" s="25" t="n">
        <v>450</v>
      </c>
      <c r="H586" s="28" t="n">
        <v>0</v>
      </c>
      <c r="I586" s="25" t="n">
        <v>190</v>
      </c>
    </row>
    <row r="587">
      <c r="A587" s="25" t="inlineStr">
        <is>
          <t>ORD-10835</t>
        </is>
      </c>
      <c r="B587" s="25" t="inlineStr">
        <is>
          <t>04-Feb-2025</t>
        </is>
      </c>
      <c r="C587" s="25" t="inlineStr">
        <is>
          <t>North</t>
        </is>
      </c>
      <c r="D587" s="25" t="inlineStr">
        <is>
          <t>Accessories</t>
        </is>
      </c>
      <c r="E587" s="25" t="inlineStr">
        <is>
          <t>USB-C Hub</t>
        </is>
      </c>
      <c r="F587" s="25" t="n">
        <v>2</v>
      </c>
      <c r="G587" s="25" t="n">
        <v>1800</v>
      </c>
      <c r="H587" s="28" t="n">
        <v>0</v>
      </c>
      <c r="I587" s="25" t="n">
        <v>980</v>
      </c>
    </row>
    <row r="588">
      <c r="A588" s="25" t="inlineStr">
        <is>
          <t>ORD-10767</t>
        </is>
      </c>
      <c r="B588" s="26" t="n">
        <v>45954</v>
      </c>
      <c r="C588" s="25" t="inlineStr">
        <is>
          <t>West</t>
        </is>
      </c>
      <c r="D588" s="25" t="inlineStr">
        <is>
          <t>Technology</t>
        </is>
      </c>
      <c r="E588" s="25" t="inlineStr">
        <is>
          <t>Mechanical Keyboard</t>
        </is>
      </c>
      <c r="F588" s="25" t="n">
        <v>1</v>
      </c>
      <c r="G588" s="25" t="n">
        <v>4200</v>
      </c>
      <c r="H588" s="28" t="n">
        <v>0</v>
      </c>
      <c r="I588" s="25" t="n">
        <v>2500</v>
      </c>
    </row>
    <row r="589">
      <c r="A589" s="25" t="inlineStr">
        <is>
          <t>ORD-10763</t>
        </is>
      </c>
      <c r="B589" s="26" t="n">
        <v>45862</v>
      </c>
      <c r="C589" s="25" t="inlineStr">
        <is>
          <t>South</t>
        </is>
      </c>
      <c r="D589" s="25" t="inlineStr">
        <is>
          <t>Technology</t>
        </is>
      </c>
      <c r="E589" s="25" t="inlineStr">
        <is>
          <t>Mechanical Keyboard</t>
        </is>
      </c>
      <c r="F589" s="25" t="n">
        <v>1</v>
      </c>
      <c r="G589" s="25" t="n">
        <v>4200</v>
      </c>
      <c r="H589" s="28" t="n">
        <v>0</v>
      </c>
      <c r="I589" s="25" t="n">
        <v>2500</v>
      </c>
    </row>
    <row r="590">
      <c r="A590" s="25" t="inlineStr">
        <is>
          <t>ORD-10357</t>
        </is>
      </c>
      <c r="B590" s="26" t="n">
        <v>45851</v>
      </c>
      <c r="C590" s="25" t="inlineStr">
        <is>
          <t>West</t>
        </is>
      </c>
      <c r="D590" s="25" t="inlineStr">
        <is>
          <t>Office Supplies</t>
        </is>
      </c>
      <c r="E590" s="25" t="inlineStr">
        <is>
          <t>Notebook Set</t>
        </is>
      </c>
      <c r="F590" s="25" t="n">
        <v>2</v>
      </c>
      <c r="G590" s="25" t="n">
        <v>450</v>
      </c>
      <c r="H590" s="28" t="n">
        <v>0.15</v>
      </c>
      <c r="I590" s="25" t="n">
        <v>190</v>
      </c>
    </row>
    <row r="591">
      <c r="A591" s="25" t="inlineStr">
        <is>
          <t>ORD-10484</t>
        </is>
      </c>
      <c r="B591" s="25" t="inlineStr">
        <is>
          <t>05-Oct-2025</t>
        </is>
      </c>
      <c r="C591" s="25" t="inlineStr">
        <is>
          <t>West</t>
        </is>
      </c>
      <c r="D591" s="25" t="inlineStr">
        <is>
          <t>Technology</t>
        </is>
      </c>
      <c r="E591" s="25" t="inlineStr">
        <is>
          <t>Mechanical Keyboard</t>
        </is>
      </c>
      <c r="F591" s="25" t="n">
        <v>2</v>
      </c>
      <c r="G591" s="25" t="n">
        <v>4200</v>
      </c>
      <c r="H591" s="28" t="n">
        <v>0.1</v>
      </c>
      <c r="I591" s="25" t="n">
        <v>2500</v>
      </c>
    </row>
    <row r="592">
      <c r="A592" s="25" t="inlineStr">
        <is>
          <t>ORD-10531</t>
        </is>
      </c>
      <c r="B592" s="26" t="n">
        <v>46018</v>
      </c>
      <c r="C592" s="25" t="inlineStr">
        <is>
          <t>West</t>
        </is>
      </c>
      <c r="D592" s="25" t="inlineStr">
        <is>
          <t>Accessories</t>
        </is>
      </c>
      <c r="E592" s="25" t="inlineStr">
        <is>
          <t>Headphones</t>
        </is>
      </c>
      <c r="F592" s="25" t="n">
        <v>3</v>
      </c>
      <c r="G592" s="25" t="n">
        <v>4500</v>
      </c>
      <c r="H592" s="28" t="n">
        <v>0.05</v>
      </c>
      <c r="I592" s="25" t="n">
        <v>2600</v>
      </c>
    </row>
    <row r="593">
      <c r="A593" s="25" t="inlineStr">
        <is>
          <t>ORD-10359</t>
        </is>
      </c>
      <c r="B593" s="26" t="n">
        <v>45967</v>
      </c>
      <c r="C593" s="25" t="inlineStr">
        <is>
          <t>South</t>
        </is>
      </c>
      <c r="D593" s="25" t="inlineStr">
        <is>
          <t>Accessories</t>
        </is>
      </c>
      <c r="E593" s="25" t="inlineStr">
        <is>
          <t>Headphones</t>
        </is>
      </c>
      <c r="F593" s="25" t="n">
        <v>1</v>
      </c>
      <c r="G593" s="25" t="n">
        <v>4500</v>
      </c>
      <c r="H593" s="28" t="n">
        <v>0</v>
      </c>
      <c r="I593" s="25" t="n">
        <v>2600</v>
      </c>
    </row>
    <row r="594">
      <c r="A594" s="25" t="inlineStr">
        <is>
          <t>ORD-10631</t>
        </is>
      </c>
      <c r="B594" s="26" t="n">
        <v>45783</v>
      </c>
      <c r="C594" s="25" t="inlineStr">
        <is>
          <t>South</t>
        </is>
      </c>
      <c r="D594" s="25" t="inlineStr">
        <is>
          <t>Accessories</t>
        </is>
      </c>
      <c r="E594" s="25" t="inlineStr">
        <is>
          <t>USB-C Hub</t>
        </is>
      </c>
      <c r="F594" s="25" t="n">
        <v>1</v>
      </c>
      <c r="G594" s="25" t="n">
        <v>1800</v>
      </c>
      <c r="H594" s="28" t="n">
        <v>0</v>
      </c>
      <c r="I594" s="25" t="n">
        <v>980</v>
      </c>
    </row>
    <row r="595">
      <c r="A595" s="25" t="inlineStr">
        <is>
          <t>ORD-10366</t>
        </is>
      </c>
      <c r="B595" s="26" t="n">
        <v>45735</v>
      </c>
      <c r="C595" s="25" t="inlineStr">
        <is>
          <t>North</t>
        </is>
      </c>
      <c r="D595" s="25" t="inlineStr">
        <is>
          <t>Accessories</t>
        </is>
      </c>
      <c r="E595" s="25" t="inlineStr">
        <is>
          <t>USB-C Hub</t>
        </is>
      </c>
      <c r="F595" s="25" t="n">
        <v>3</v>
      </c>
      <c r="G595" s="25" t="n">
        <v>1800</v>
      </c>
      <c r="H595" s="28" t="n">
        <v>0.1</v>
      </c>
      <c r="I595" s="25" t="n">
        <v>980</v>
      </c>
    </row>
    <row r="596">
      <c r="A596" s="25" t="inlineStr">
        <is>
          <t>ORD-10495</t>
        </is>
      </c>
      <c r="B596" s="25" t="inlineStr">
        <is>
          <t>20-Apr-2025</t>
        </is>
      </c>
      <c r="C596" s="25" t="inlineStr">
        <is>
          <t>South</t>
        </is>
      </c>
      <c r="D596" s="25" t="inlineStr">
        <is>
          <t>Accessories</t>
        </is>
      </c>
      <c r="E596" s="25" t="inlineStr">
        <is>
          <t>USB-C Hub</t>
        </is>
      </c>
      <c r="F596" s="25" t="n">
        <v>4</v>
      </c>
      <c r="G596" s="25" t="n">
        <v>1800</v>
      </c>
      <c r="H596" s="28" t="n">
        <v>0.05</v>
      </c>
      <c r="I596" s="25" t="n">
        <v>980</v>
      </c>
    </row>
    <row r="597">
      <c r="A597" s="25" t="inlineStr">
        <is>
          <t>ORD-10410</t>
        </is>
      </c>
      <c r="B597" s="26" t="n">
        <v>45667</v>
      </c>
      <c r="C597" s="25" t="inlineStr">
        <is>
          <t>West</t>
        </is>
      </c>
      <c r="D597" s="25" t="inlineStr">
        <is>
          <t>Technology</t>
        </is>
      </c>
      <c r="E597" s="25" t="inlineStr">
        <is>
          <t>Mechanical Keyboard</t>
        </is>
      </c>
      <c r="F597" s="25" t="n">
        <v>2</v>
      </c>
      <c r="G597" s="25" t="n">
        <v>4200</v>
      </c>
      <c r="H597" s="28" t="n">
        <v>0</v>
      </c>
      <c r="I597" s="25" t="n">
        <v>2500</v>
      </c>
    </row>
    <row r="598">
      <c r="A598" s="25" t="inlineStr">
        <is>
          <t>ORD-10493</t>
        </is>
      </c>
      <c r="B598" s="26" t="n">
        <v>45943</v>
      </c>
      <c r="C598" s="25" t="inlineStr">
        <is>
          <t>North</t>
        </is>
      </c>
      <c r="D598" s="25" t="inlineStr">
        <is>
          <t>Office Supplies</t>
        </is>
      </c>
      <c r="E598" s="25" t="inlineStr">
        <is>
          <t>Notebook Set</t>
        </is>
      </c>
      <c r="F598" s="25" t="n">
        <v>8</v>
      </c>
      <c r="G598" s="25" t="n">
        <v>450</v>
      </c>
      <c r="H598" s="28" t="n">
        <v>0</v>
      </c>
      <c r="I598" s="25" t="n">
        <v>190</v>
      </c>
    </row>
    <row r="599">
      <c r="A599" s="25" t="inlineStr">
        <is>
          <t>ORD-11077</t>
        </is>
      </c>
      <c r="B599" s="25" t="inlineStr">
        <is>
          <t>14-Oct-2025</t>
        </is>
      </c>
      <c r="C599" s="25" t="inlineStr">
        <is>
          <t>North</t>
        </is>
      </c>
      <c r="D599" s="25" t="inlineStr">
        <is>
          <t>Accessories</t>
        </is>
      </c>
      <c r="E599" s="25" t="inlineStr">
        <is>
          <t>USB-C Hub</t>
        </is>
      </c>
      <c r="F599" s="25" t="n">
        <v>3</v>
      </c>
      <c r="G599" s="25" t="n">
        <v>1800</v>
      </c>
      <c r="H599" s="28" t="n">
        <v>0.05</v>
      </c>
      <c r="I599" s="25" t="n">
        <v>980</v>
      </c>
    </row>
    <row r="600">
      <c r="A600" s="25" t="inlineStr">
        <is>
          <t>ORD-10684</t>
        </is>
      </c>
      <c r="B600" s="25" t="inlineStr">
        <is>
          <t>28-Oct-2025</t>
        </is>
      </c>
      <c r="C600" s="25" t="inlineStr">
        <is>
          <t>SOUTH</t>
        </is>
      </c>
      <c r="D600" s="25" t="inlineStr">
        <is>
          <t>Accessories</t>
        </is>
      </c>
      <c r="E600" s="25" t="inlineStr">
        <is>
          <t>Webcam</t>
        </is>
      </c>
      <c r="F600" s="25" t="n">
        <v>3</v>
      </c>
      <c r="G600" s="25" t="n">
        <v>3200</v>
      </c>
      <c r="H600" s="28" t="n">
        <v>0.15</v>
      </c>
      <c r="I600" s="25" t="n">
        <v>1900</v>
      </c>
    </row>
    <row r="601">
      <c r="A601" s="25" t="inlineStr">
        <is>
          <t>ORD-10534</t>
        </is>
      </c>
      <c r="B601" s="26" t="n">
        <v>45769</v>
      </c>
      <c r="C601" s="25" t="inlineStr">
        <is>
          <t>East</t>
        </is>
      </c>
      <c r="D601" s="25" t="inlineStr">
        <is>
          <t>Furniture</t>
        </is>
      </c>
      <c r="E601" s="25" t="inlineStr">
        <is>
          <t>Bookshelf</t>
        </is>
      </c>
      <c r="F601" s="25" t="n">
        <v>3</v>
      </c>
      <c r="G601" s="25" t="n">
        <v>6200</v>
      </c>
      <c r="H601" s="28" t="n">
        <v>0</v>
      </c>
      <c r="I601" s="25" t="n">
        <v>4100</v>
      </c>
    </row>
    <row r="602">
      <c r="A602" s="25" t="inlineStr">
        <is>
          <t>ORD-11113</t>
        </is>
      </c>
      <c r="B602" s="26" t="n">
        <v>45662</v>
      </c>
      <c r="C602" s="25" t="inlineStr">
        <is>
          <t>West</t>
        </is>
      </c>
      <c r="D602" s="25" t="inlineStr">
        <is>
          <t>Office Supplies</t>
        </is>
      </c>
      <c r="E602" s="25" t="inlineStr">
        <is>
          <t>Notebook Set</t>
        </is>
      </c>
      <c r="F602" s="25" t="n">
        <v>5</v>
      </c>
      <c r="G602" s="25" t="n">
        <v>450</v>
      </c>
      <c r="H602" s="28" t="n">
        <v>0.1</v>
      </c>
      <c r="I602" s="25" t="n">
        <v>190</v>
      </c>
    </row>
    <row r="603">
      <c r="A603" s="25" t="inlineStr">
        <is>
          <t>ORD-10682</t>
        </is>
      </c>
      <c r="B603" s="26" t="n">
        <v>45923</v>
      </c>
      <c r="C603" s="25" t="inlineStr">
        <is>
          <t>North</t>
        </is>
      </c>
      <c r="D603" s="25" t="inlineStr">
        <is>
          <t>Office Supplies</t>
        </is>
      </c>
      <c r="E603" s="25" t="inlineStr">
        <is>
          <t>Printer Paper Box</t>
        </is>
      </c>
      <c r="F603" s="25" t="n">
        <v>4</v>
      </c>
      <c r="G603" s="25" t="n">
        <v>1600</v>
      </c>
      <c r="H603" s="28" t="n">
        <v>0.15</v>
      </c>
      <c r="I603" s="25" t="n">
        <v>1050</v>
      </c>
    </row>
    <row r="604">
      <c r="A604" s="25" t="inlineStr">
        <is>
          <t>ORD-10549</t>
        </is>
      </c>
      <c r="B604" s="25" t="inlineStr">
        <is>
          <t>11-Apr-2025</t>
        </is>
      </c>
      <c r="C604" s="25" t="inlineStr">
        <is>
          <t>East</t>
        </is>
      </c>
      <c r="D604" s="25" t="inlineStr">
        <is>
          <t>Technology</t>
        </is>
      </c>
      <c r="E604" s="25" t="inlineStr">
        <is>
          <t>Wireless Mouse</t>
        </is>
      </c>
      <c r="F604" s="25" t="n">
        <v>2</v>
      </c>
      <c r="G604" s="25" t="n">
        <v>1200</v>
      </c>
      <c r="H604" s="28" t="n">
        <v>0.2</v>
      </c>
      <c r="I604" s="25" t="n">
        <v>650</v>
      </c>
    </row>
    <row r="605">
      <c r="A605" s="25" t="inlineStr">
        <is>
          <t>ORD-10762</t>
        </is>
      </c>
      <c r="B605" s="26" t="n">
        <v>45824</v>
      </c>
      <c r="C605" s="25" t="inlineStr">
        <is>
          <t>South</t>
        </is>
      </c>
      <c r="D605" s="25" t="inlineStr">
        <is>
          <t>Furniture</t>
        </is>
      </c>
      <c r="E605" s="25" t="inlineStr">
        <is>
          <t>Bookshelf</t>
        </is>
      </c>
      <c r="F605" s="25" t="n">
        <v>1</v>
      </c>
      <c r="G605" s="25" t="n">
        <v>6200</v>
      </c>
      <c r="H605" s="28" t="n">
        <v>0</v>
      </c>
      <c r="I605" s="25" t="n">
        <v>4100</v>
      </c>
    </row>
    <row r="606">
      <c r="A606" s="25" t="inlineStr">
        <is>
          <t>ORD-11164</t>
        </is>
      </c>
      <c r="B606" s="26" t="n">
        <v>45968</v>
      </c>
      <c r="C606" s="25" t="inlineStr">
        <is>
          <t>West</t>
        </is>
      </c>
      <c r="D606" s="25" t="inlineStr">
        <is>
          <t>Furniture</t>
        </is>
      </c>
      <c r="E606" s="25" t="inlineStr">
        <is>
          <t>Office Chair</t>
        </is>
      </c>
      <c r="F606" s="25" t="n">
        <v>2</v>
      </c>
      <c r="G606" s="25" t="n">
        <v>8500</v>
      </c>
      <c r="H606" s="28" t="n">
        <v>0.2</v>
      </c>
      <c r="I606" s="25" t="n">
        <v>5600</v>
      </c>
    </row>
    <row r="607">
      <c r="A607" s="25" t="inlineStr">
        <is>
          <t>ORD-10926</t>
        </is>
      </c>
      <c r="B607" s="26" t="n">
        <v>45793</v>
      </c>
      <c r="C607" s="25" t="inlineStr">
        <is>
          <t>North</t>
        </is>
      </c>
      <c r="D607" s="25" t="inlineStr">
        <is>
          <t>Accessories</t>
        </is>
      </c>
      <c r="E607" s="25" t="inlineStr">
        <is>
          <t>USB-C Hub</t>
        </is>
      </c>
      <c r="F607" s="25" t="n">
        <v>1</v>
      </c>
      <c r="G607" s="25" t="n">
        <v>1800</v>
      </c>
      <c r="H607" s="28" t="n">
        <v>0</v>
      </c>
      <c r="I607" s="25" t="n">
        <v>980</v>
      </c>
    </row>
    <row r="608">
      <c r="A608" s="25" t="inlineStr">
        <is>
          <t>ORD-10071</t>
        </is>
      </c>
      <c r="B608" s="26" t="n">
        <v>46005</v>
      </c>
      <c r="C608" s="25" t="inlineStr">
        <is>
          <t>west</t>
        </is>
      </c>
      <c r="D608" s="25" t="inlineStr">
        <is>
          <t>Technology</t>
        </is>
      </c>
      <c r="E608" s="25" t="inlineStr">
        <is>
          <t>Wireless Mouse</t>
        </is>
      </c>
      <c r="F608" s="25" t="n">
        <v>5</v>
      </c>
      <c r="G608" s="25" t="n">
        <v>1200</v>
      </c>
      <c r="H608" s="28" t="n">
        <v>0.1</v>
      </c>
      <c r="I608" s="25" t="n">
        <v>650</v>
      </c>
    </row>
    <row r="609">
      <c r="A609" s="25" t="inlineStr">
        <is>
          <t>ORD-10730</t>
        </is>
      </c>
      <c r="B609" s="26" t="n">
        <v>45751</v>
      </c>
      <c r="C609" s="25" t="inlineStr">
        <is>
          <t>West</t>
        </is>
      </c>
      <c r="D609" s="25" t="inlineStr">
        <is>
          <t>Office Supplies</t>
        </is>
      </c>
      <c r="E609" s="25" t="inlineStr">
        <is>
          <t>Printer Paper Box</t>
        </is>
      </c>
      <c r="F609" s="25" t="n">
        <v>2</v>
      </c>
      <c r="G609" s="25" t="n">
        <v>1600</v>
      </c>
      <c r="H609" s="28" t="n">
        <v>0</v>
      </c>
      <c r="I609" s="25" t="n">
        <v>1050</v>
      </c>
    </row>
    <row r="610">
      <c r="A610" s="25" t="inlineStr">
        <is>
          <t>ORD-10354</t>
        </is>
      </c>
      <c r="B610" s="26" t="n">
        <v>45790</v>
      </c>
      <c r="C610" s="25" t="inlineStr">
        <is>
          <t>North</t>
        </is>
      </c>
      <c r="D610" s="25" t="inlineStr">
        <is>
          <t>Accessories</t>
        </is>
      </c>
      <c r="E610" s="25" t="inlineStr">
        <is>
          <t>USB-C Hub</t>
        </is>
      </c>
      <c r="F610" s="25" t="n">
        <v>1</v>
      </c>
      <c r="G610" s="25" t="n">
        <v>1800</v>
      </c>
      <c r="H610" s="28" t="n">
        <v>0.1</v>
      </c>
      <c r="I610" s="25" t="n">
        <v>980</v>
      </c>
    </row>
    <row r="611">
      <c r="A611" s="25" t="inlineStr">
        <is>
          <t>ORD-10427</t>
        </is>
      </c>
      <c r="B611" s="25" t="inlineStr">
        <is>
          <t>26-Apr-2025</t>
        </is>
      </c>
      <c r="C611" s="25" t="inlineStr">
        <is>
          <t>East</t>
        </is>
      </c>
      <c r="D611" s="25" t="inlineStr">
        <is>
          <t>Accessories</t>
        </is>
      </c>
      <c r="E611" s="25" t="inlineStr">
        <is>
          <t>Webcam</t>
        </is>
      </c>
      <c r="F611" s="25" t="n">
        <v>1</v>
      </c>
      <c r="G611" s="25" t="n">
        <v>3200</v>
      </c>
      <c r="H611" s="28" t="n">
        <v>0</v>
      </c>
      <c r="I611" s="25" t="n">
        <v>1900</v>
      </c>
    </row>
    <row r="612">
      <c r="A612" s="25" t="inlineStr">
        <is>
          <t>ORD-10857</t>
        </is>
      </c>
      <c r="B612" s="26" t="n">
        <v>45969</v>
      </c>
      <c r="C612" s="25" t="inlineStr">
        <is>
          <t>West</t>
        </is>
      </c>
      <c r="D612" s="25" t="inlineStr">
        <is>
          <t>Office Supplies</t>
        </is>
      </c>
      <c r="E612" s="25" t="inlineStr">
        <is>
          <t>Notebook Set</t>
        </is>
      </c>
      <c r="F612" s="25" t="n">
        <v>7</v>
      </c>
      <c r="G612" s="25" t="n">
        <v>450</v>
      </c>
      <c r="H612" s="28" t="n">
        <v>0.1</v>
      </c>
      <c r="I612" s="25" t="n">
        <v>190</v>
      </c>
    </row>
    <row r="613">
      <c r="A613" s="25" t="inlineStr">
        <is>
          <t>ORD-11040</t>
        </is>
      </c>
      <c r="B613" s="26" t="n">
        <v>45995</v>
      </c>
      <c r="C613" s="25" t="inlineStr">
        <is>
          <t>North</t>
        </is>
      </c>
      <c r="D613" s="25" t="inlineStr">
        <is>
          <t>Accessories</t>
        </is>
      </c>
      <c r="E613" s="25" t="inlineStr">
        <is>
          <t>USB-C Hub</t>
        </is>
      </c>
      <c r="F613" s="25" t="n">
        <v>1</v>
      </c>
      <c r="G613" s="25" t="n">
        <v>1800</v>
      </c>
      <c r="H613" s="28" t="n">
        <v>0</v>
      </c>
      <c r="I613" s="25" t="n">
        <v>980</v>
      </c>
    </row>
    <row r="614">
      <c r="A614" s="25" t="inlineStr">
        <is>
          <t>ORD-10521</t>
        </is>
      </c>
      <c r="B614" s="25" t="inlineStr">
        <is>
          <t>06-Aug-2025</t>
        </is>
      </c>
      <c r="C614" s="25" t="inlineStr">
        <is>
          <t>South</t>
        </is>
      </c>
      <c r="D614" s="25" t="inlineStr">
        <is>
          <t>Accessories</t>
        </is>
      </c>
      <c r="E614" s="25" t="inlineStr">
        <is>
          <t>USB-C Hub</t>
        </is>
      </c>
      <c r="F614" s="25" t="n">
        <v>4</v>
      </c>
      <c r="G614" s="25" t="n">
        <v>1800</v>
      </c>
      <c r="H614" s="28" t="n">
        <v>0.1</v>
      </c>
      <c r="I614" s="25" t="n">
        <v>980</v>
      </c>
    </row>
    <row r="615">
      <c r="A615" s="25" t="inlineStr">
        <is>
          <t>ORD-10687</t>
        </is>
      </c>
      <c r="B615" s="26" t="n">
        <v>45963</v>
      </c>
      <c r="C615" s="25" t="inlineStr">
        <is>
          <t>West</t>
        </is>
      </c>
      <c r="D615" s="25" t="inlineStr">
        <is>
          <t>Office Supplies</t>
        </is>
      </c>
      <c r="E615" s="25" t="inlineStr">
        <is>
          <t>Notebook Set</t>
        </is>
      </c>
      <c r="F615" s="25" t="n">
        <v>7</v>
      </c>
      <c r="G615" s="25" t="n">
        <v>450</v>
      </c>
      <c r="H615" s="28" t="n">
        <v>0.1</v>
      </c>
      <c r="I615" s="25" t="n">
        <v>190</v>
      </c>
    </row>
    <row r="616">
      <c r="A616" s="25" t="inlineStr">
        <is>
          <t>ORD-10352</t>
        </is>
      </c>
      <c r="B616" s="26" t="n">
        <v>45780</v>
      </c>
      <c r="C616" s="25" t="inlineStr">
        <is>
          <t>East</t>
        </is>
      </c>
      <c r="D616" s="25" t="inlineStr">
        <is>
          <t>Furniture</t>
        </is>
      </c>
      <c r="E616" s="25" t="inlineStr">
        <is>
          <t>Bookshelf</t>
        </is>
      </c>
      <c r="F616" s="25" t="n">
        <v>2</v>
      </c>
      <c r="G616" s="25" t="n">
        <v>6200</v>
      </c>
      <c r="H616" s="28" t="n">
        <v>0.15</v>
      </c>
      <c r="I616" s="25" t="n">
        <v>4100</v>
      </c>
    </row>
    <row r="617">
      <c r="A617" s="25" t="inlineStr">
        <is>
          <t>ORD-10498</t>
        </is>
      </c>
      <c r="B617" s="26" t="n">
        <v>45820</v>
      </c>
      <c r="C617" s="25" t="inlineStr">
        <is>
          <t>North</t>
        </is>
      </c>
      <c r="D617" s="25" t="inlineStr">
        <is>
          <t>Furniture</t>
        </is>
      </c>
      <c r="E617" s="25" t="inlineStr">
        <is>
          <t>Bookshelf</t>
        </is>
      </c>
      <c r="F617" s="25" t="n">
        <v>1</v>
      </c>
      <c r="G617" s="25" t="n">
        <v>6200</v>
      </c>
      <c r="H617" s="28" t="n">
        <v>0.15</v>
      </c>
      <c r="I617" s="25" t="n">
        <v>4100</v>
      </c>
    </row>
    <row r="618">
      <c r="A618" s="25" t="inlineStr">
        <is>
          <t>ORD-10418</t>
        </is>
      </c>
      <c r="B618" s="26" t="n">
        <v>45870</v>
      </c>
      <c r="C618" s="25" t="inlineStr">
        <is>
          <t>East</t>
        </is>
      </c>
      <c r="D618" s="25" t="inlineStr">
        <is>
          <t>Office Supplies</t>
        </is>
      </c>
      <c r="E618" s="25" t="inlineStr">
        <is>
          <t>Notebook Set</t>
        </is>
      </c>
      <c r="F618" s="25" t="n">
        <v>6</v>
      </c>
      <c r="G618" s="25" t="n">
        <v>450</v>
      </c>
      <c r="H618" s="28" t="n">
        <v>0</v>
      </c>
      <c r="I618" s="25" t="n">
        <v>190</v>
      </c>
    </row>
    <row r="619">
      <c r="A619" s="25" t="inlineStr">
        <is>
          <t>ORD-10776</t>
        </is>
      </c>
      <c r="B619" s="26" t="n">
        <v>46017</v>
      </c>
      <c r="C619" s="25" t="inlineStr">
        <is>
          <t>South</t>
        </is>
      </c>
      <c r="D619" s="25" t="inlineStr">
        <is>
          <t>Office Supplies</t>
        </is>
      </c>
      <c r="E619" s="25" t="inlineStr">
        <is>
          <t>Printer Paper Box</t>
        </is>
      </c>
      <c r="F619" s="25" t="n">
        <v>2</v>
      </c>
      <c r="G619" s="25" t="n">
        <v>1600</v>
      </c>
      <c r="H619" s="28" t="n">
        <v>0.2</v>
      </c>
      <c r="I619" s="25" t="n">
        <v>1050</v>
      </c>
    </row>
    <row r="620">
      <c r="A620" s="25" t="inlineStr">
        <is>
          <t>ORD-10848</t>
        </is>
      </c>
      <c r="B620" s="26" t="n">
        <v>45829</v>
      </c>
      <c r="C620" s="25" t="inlineStr">
        <is>
          <t>West</t>
        </is>
      </c>
      <c r="D620" s="25" t="inlineStr">
        <is>
          <t>Furniture</t>
        </is>
      </c>
      <c r="E620" s="25" t="inlineStr">
        <is>
          <t>Standing Desk</t>
        </is>
      </c>
      <c r="F620" s="25" t="n">
        <v>1</v>
      </c>
      <c r="G620" s="25" t="n">
        <v>19500</v>
      </c>
      <c r="H620" s="28" t="n">
        <v>0</v>
      </c>
      <c r="I620" s="25" t="n">
        <v>13800</v>
      </c>
    </row>
    <row r="621">
      <c r="A621" s="25" t="inlineStr">
        <is>
          <t>ORD-10691</t>
        </is>
      </c>
      <c r="B621" s="26" t="n">
        <v>45717</v>
      </c>
      <c r="C621" s="25" t="inlineStr">
        <is>
          <t>South</t>
        </is>
      </c>
      <c r="D621" s="25" t="inlineStr">
        <is>
          <t>Technology</t>
        </is>
      </c>
      <c r="E621" s="25" t="inlineStr">
        <is>
          <t>Monitor 24"</t>
        </is>
      </c>
      <c r="F621" s="25" t="n">
        <v>2</v>
      </c>
      <c r="G621" s="25" t="n">
        <v>11500</v>
      </c>
      <c r="H621" s="28" t="n">
        <v>0</v>
      </c>
      <c r="I621" s="25" t="n">
        <v>8200</v>
      </c>
    </row>
    <row r="622">
      <c r="A622" s="25" t="inlineStr">
        <is>
          <t>ORD-10666</t>
        </is>
      </c>
      <c r="B622" s="26" t="n">
        <v>45885</v>
      </c>
      <c r="C622" s="25" t="inlineStr">
        <is>
          <t>North</t>
        </is>
      </c>
      <c r="D622" s="25" t="inlineStr">
        <is>
          <t>Office Supplies</t>
        </is>
      </c>
      <c r="E622" s="25" t="inlineStr">
        <is>
          <t>Desk Organizer</t>
        </is>
      </c>
      <c r="F622" s="25" t="n">
        <v>2</v>
      </c>
      <c r="G622" s="25" t="n">
        <v>850</v>
      </c>
      <c r="H622" s="28" t="n">
        <v>0</v>
      </c>
      <c r="I622" s="25" t="n">
        <v>420</v>
      </c>
    </row>
    <row r="623">
      <c r="A623" s="25" t="inlineStr">
        <is>
          <t>ORD-10713</t>
        </is>
      </c>
      <c r="B623" s="26" t="n">
        <v>46005</v>
      </c>
      <c r="C623" s="25" t="inlineStr">
        <is>
          <t>East</t>
        </is>
      </c>
      <c r="D623" s="25" t="inlineStr">
        <is>
          <t>Accessories</t>
        </is>
      </c>
      <c r="E623" s="25" t="inlineStr">
        <is>
          <t>Headphones</t>
        </is>
      </c>
      <c r="F623" s="25" t="n">
        <v>3</v>
      </c>
      <c r="G623" s="25" t="n">
        <v>4500</v>
      </c>
      <c r="H623" s="28" t="n">
        <v>0</v>
      </c>
      <c r="I623" s="25" t="n">
        <v>2600</v>
      </c>
    </row>
    <row r="624">
      <c r="A624" s="25" t="inlineStr">
        <is>
          <t>ORD-10744</t>
        </is>
      </c>
      <c r="B624" s="26" t="n">
        <v>45819</v>
      </c>
      <c r="C624" s="25" t="inlineStr">
        <is>
          <t>west</t>
        </is>
      </c>
      <c r="D624" s="25" t="inlineStr">
        <is>
          <t>Office Supplies</t>
        </is>
      </c>
      <c r="E624" s="25" t="inlineStr">
        <is>
          <t>Desk Organizer</t>
        </is>
      </c>
      <c r="F624" s="25" t="n">
        <v>5</v>
      </c>
      <c r="G624" s="25" t="n">
        <v>850</v>
      </c>
      <c r="H624" s="28" t="n">
        <v>0</v>
      </c>
      <c r="I624" s="25" t="n">
        <v>420</v>
      </c>
    </row>
    <row r="625">
      <c r="A625" s="25" t="inlineStr">
        <is>
          <t>ORD-10361</t>
        </is>
      </c>
      <c r="B625" s="26" t="n">
        <v>46018</v>
      </c>
      <c r="C625" s="25" t="inlineStr">
        <is>
          <t>North</t>
        </is>
      </c>
      <c r="D625" s="25" t="inlineStr">
        <is>
          <t>Technology</t>
        </is>
      </c>
      <c r="E625" s="25" t="inlineStr">
        <is>
          <t>Wireless Mouse</t>
        </is>
      </c>
      <c r="F625" s="25" t="n">
        <v>2</v>
      </c>
      <c r="G625" s="25" t="n"/>
      <c r="H625" s="28" t="n">
        <v>0</v>
      </c>
      <c r="I625" s="25" t="n">
        <v>650</v>
      </c>
    </row>
    <row r="626">
      <c r="A626" s="25" t="inlineStr">
        <is>
          <t>ORD-11103</t>
        </is>
      </c>
      <c r="B626" s="26" t="n">
        <v>45951</v>
      </c>
      <c r="C626" s="25" t="inlineStr">
        <is>
          <t>South</t>
        </is>
      </c>
      <c r="D626" s="25" t="inlineStr">
        <is>
          <t>Accessories</t>
        </is>
      </c>
      <c r="E626" s="25" t="inlineStr">
        <is>
          <t>Webcam</t>
        </is>
      </c>
      <c r="F626" s="25" t="n">
        <v>2</v>
      </c>
      <c r="G626" s="25" t="n">
        <v>3200</v>
      </c>
      <c r="H626" s="28" t="n">
        <v>0.15</v>
      </c>
      <c r="I626" s="25" t="n">
        <v>1900</v>
      </c>
    </row>
    <row r="627">
      <c r="A627" s="25" t="inlineStr">
        <is>
          <t>ORD-10473</t>
        </is>
      </c>
      <c r="B627" s="25" t="inlineStr">
        <is>
          <t>21-Apr-2025</t>
        </is>
      </c>
      <c r="C627" s="25" t="inlineStr">
        <is>
          <t>East</t>
        </is>
      </c>
      <c r="D627" s="25" t="inlineStr">
        <is>
          <t>Furniture</t>
        </is>
      </c>
      <c r="E627" s="25" t="inlineStr">
        <is>
          <t>Office Chair</t>
        </is>
      </c>
      <c r="F627" s="25" t="n">
        <v>2</v>
      </c>
      <c r="G627" s="25" t="n">
        <v>8500</v>
      </c>
      <c r="H627" s="28" t="n">
        <v>0</v>
      </c>
      <c r="I627" s="25" t="n">
        <v>5600</v>
      </c>
    </row>
    <row r="628">
      <c r="A628" s="25" t="inlineStr">
        <is>
          <t>ORD-10483</t>
        </is>
      </c>
      <c r="B628" s="26" t="n">
        <v>45793</v>
      </c>
      <c r="C628" s="25" t="inlineStr">
        <is>
          <t>South</t>
        </is>
      </c>
      <c r="D628" s="25" t="inlineStr">
        <is>
          <t>Technology</t>
        </is>
      </c>
      <c r="E628" s="25" t="inlineStr">
        <is>
          <t>Monitor 24"</t>
        </is>
      </c>
      <c r="F628" s="25" t="n">
        <v>2</v>
      </c>
      <c r="G628" s="25" t="n">
        <v>11500</v>
      </c>
      <c r="H628" s="28" t="n">
        <v>0</v>
      </c>
      <c r="I628" s="25" t="n">
        <v>8200</v>
      </c>
    </row>
    <row r="629">
      <c r="A629" s="25" t="inlineStr">
        <is>
          <t>ORD-10602</t>
        </is>
      </c>
      <c r="B629" s="26" t="n">
        <v>45662</v>
      </c>
      <c r="C629" s="25" t="inlineStr">
        <is>
          <t>South</t>
        </is>
      </c>
      <c r="D629" s="25" t="inlineStr">
        <is>
          <t>Technology</t>
        </is>
      </c>
      <c r="E629" s="25" t="inlineStr">
        <is>
          <t>Mechanical Keyboard</t>
        </is>
      </c>
      <c r="F629" s="25" t="n">
        <v>2</v>
      </c>
      <c r="G629" s="25" t="n">
        <v>4200</v>
      </c>
      <c r="H629" s="28" t="n">
        <v>0</v>
      </c>
      <c r="I629" s="25" t="n">
        <v>2500</v>
      </c>
    </row>
    <row r="630">
      <c r="A630" s="25" t="inlineStr">
        <is>
          <t>ORD-10298</t>
        </is>
      </c>
      <c r="B630" s="26" t="n">
        <v>46018</v>
      </c>
      <c r="C630" s="25" t="inlineStr">
        <is>
          <t>East</t>
        </is>
      </c>
      <c r="D630" s="25" t="inlineStr">
        <is>
          <t>Office Supplies</t>
        </is>
      </c>
      <c r="E630" s="25" t="inlineStr">
        <is>
          <t>Notebook Set</t>
        </is>
      </c>
      <c r="F630" s="25" t="n">
        <v>8</v>
      </c>
      <c r="G630" s="25" t="n">
        <v>450</v>
      </c>
      <c r="H630" s="28" t="n">
        <v>0</v>
      </c>
      <c r="I630" s="25" t="n">
        <v>190</v>
      </c>
    </row>
    <row r="631">
      <c r="A631" s="25" t="inlineStr">
        <is>
          <t>ORD-10878</t>
        </is>
      </c>
      <c r="B631" s="26" t="n">
        <v>45994</v>
      </c>
      <c r="C631" s="25" t="inlineStr">
        <is>
          <t>West</t>
        </is>
      </c>
      <c r="D631" s="25" t="inlineStr">
        <is>
          <t>Accessories</t>
        </is>
      </c>
      <c r="E631" s="25" t="inlineStr">
        <is>
          <t>USB-C Hub</t>
        </is>
      </c>
      <c r="F631" s="25" t="n">
        <v>2</v>
      </c>
      <c r="G631" s="25" t="n">
        <v>1800</v>
      </c>
      <c r="H631" s="28" t="n">
        <v>0.1</v>
      </c>
      <c r="I631" s="25" t="n">
        <v>980</v>
      </c>
    </row>
    <row r="632">
      <c r="A632" s="25" t="inlineStr">
        <is>
          <t>ORD-10225</t>
        </is>
      </c>
      <c r="B632" s="26" t="n">
        <v>45826</v>
      </c>
      <c r="C632" s="25" t="inlineStr">
        <is>
          <t>South</t>
        </is>
      </c>
      <c r="D632" s="25" t="inlineStr">
        <is>
          <t>Furniture</t>
        </is>
      </c>
      <c r="E632" s="25" t="inlineStr">
        <is>
          <t>Standing Desk</t>
        </is>
      </c>
      <c r="F632" s="25" t="n">
        <v>1</v>
      </c>
      <c r="G632" s="25" t="n">
        <v>19500</v>
      </c>
      <c r="H632" s="28" t="n">
        <v>0.05</v>
      </c>
      <c r="I632" s="25" t="n">
        <v>13800</v>
      </c>
    </row>
    <row r="633">
      <c r="A633" s="25" t="inlineStr">
        <is>
          <t>ORD-10664</t>
        </is>
      </c>
      <c r="B633" s="25" t="inlineStr">
        <is>
          <t>18-Mar-2025</t>
        </is>
      </c>
      <c r="C633" s="25" t="inlineStr">
        <is>
          <t>East</t>
        </is>
      </c>
      <c r="D633" s="25" t="inlineStr">
        <is>
          <t>Accessories</t>
        </is>
      </c>
      <c r="E633" s="25" t="inlineStr">
        <is>
          <t>USB-C Hub</t>
        </is>
      </c>
      <c r="F633" s="25" t="n">
        <v>2</v>
      </c>
      <c r="G633" s="25" t="n">
        <v>1800</v>
      </c>
      <c r="H633" s="28" t="n">
        <v>0</v>
      </c>
      <c r="I633" s="25" t="n">
        <v>980</v>
      </c>
    </row>
    <row r="634">
      <c r="A634" s="25" t="inlineStr">
        <is>
          <t>ORD-10096</t>
        </is>
      </c>
      <c r="B634" s="26" t="n">
        <v>45702</v>
      </c>
      <c r="C634" s="25" t="inlineStr">
        <is>
          <t>South</t>
        </is>
      </c>
      <c r="D634" s="25" t="inlineStr">
        <is>
          <t>Accessories</t>
        </is>
      </c>
      <c r="E634" s="25" t="inlineStr">
        <is>
          <t>Webcam</t>
        </is>
      </c>
      <c r="F634" s="25" t="n">
        <v>3</v>
      </c>
      <c r="G634" s="25" t="n">
        <v>3200</v>
      </c>
      <c r="H634" s="28" t="n">
        <v>0</v>
      </c>
      <c r="I634" s="25" t="n">
        <v>1900</v>
      </c>
    </row>
    <row r="635">
      <c r="A635" s="25" t="inlineStr">
        <is>
          <t>ORD-11069</t>
        </is>
      </c>
      <c r="B635" s="26" t="n">
        <v>45690</v>
      </c>
      <c r="C635" s="25" t="inlineStr">
        <is>
          <t>South</t>
        </is>
      </c>
      <c r="D635" s="25" t="inlineStr">
        <is>
          <t>Office Supplies</t>
        </is>
      </c>
      <c r="E635" s="25" t="inlineStr">
        <is>
          <t>Desk Organizer</t>
        </is>
      </c>
      <c r="F635" s="25" t="n">
        <v>4</v>
      </c>
      <c r="G635" s="25" t="n">
        <v>850</v>
      </c>
      <c r="H635" s="28" t="n">
        <v>0.15</v>
      </c>
      <c r="I635" s="25" t="n">
        <v>420</v>
      </c>
    </row>
    <row r="636">
      <c r="A636" s="25" t="inlineStr">
        <is>
          <t>ORD-10212</t>
        </is>
      </c>
      <c r="B636" s="25" t="inlineStr">
        <is>
          <t>20-Feb-2025</t>
        </is>
      </c>
      <c r="C636" s="25" t="inlineStr">
        <is>
          <t>North</t>
        </is>
      </c>
      <c r="D636" s="25" t="inlineStr">
        <is>
          <t>Office Supplies</t>
        </is>
      </c>
      <c r="E636" s="25" t="inlineStr">
        <is>
          <t>Notebook Set</t>
        </is>
      </c>
      <c r="F636" s="25" t="n">
        <v>5</v>
      </c>
      <c r="G636" s="25" t="n">
        <v>450</v>
      </c>
      <c r="H636" s="28" t="n">
        <v>0</v>
      </c>
      <c r="I636" s="25" t="n">
        <v>190</v>
      </c>
    </row>
    <row r="637">
      <c r="A637" s="25" t="inlineStr">
        <is>
          <t>ORD-10362</t>
        </is>
      </c>
      <c r="B637" s="26" t="n">
        <v>45697</v>
      </c>
      <c r="C637" s="25" t="inlineStr">
        <is>
          <t>East</t>
        </is>
      </c>
      <c r="D637" s="25" t="inlineStr">
        <is>
          <t>Office Supplies</t>
        </is>
      </c>
      <c r="E637" s="25" t="inlineStr">
        <is>
          <t>Desk Organizer</t>
        </is>
      </c>
      <c r="F637" s="25" t="n">
        <v>2</v>
      </c>
      <c r="G637" s="25" t="n">
        <v>850</v>
      </c>
      <c r="H637" s="28" t="n">
        <v>0</v>
      </c>
      <c r="I637" s="25" t="n">
        <v>420</v>
      </c>
    </row>
    <row r="638">
      <c r="A638" s="25" t="inlineStr">
        <is>
          <t>ORD-11094</t>
        </is>
      </c>
      <c r="B638" s="26" t="n">
        <v>45982</v>
      </c>
      <c r="C638" s="25" t="inlineStr">
        <is>
          <t>South</t>
        </is>
      </c>
      <c r="D638" s="25" t="inlineStr">
        <is>
          <t>Accessories</t>
        </is>
      </c>
      <c r="E638" s="25" t="inlineStr">
        <is>
          <t>USB-C Hub</t>
        </is>
      </c>
      <c r="F638" s="25" t="n">
        <v>2</v>
      </c>
      <c r="G638" s="25" t="n">
        <v>1800</v>
      </c>
      <c r="H638" s="28" t="n">
        <v>0.1</v>
      </c>
      <c r="I638" s="25" t="n">
        <v>980</v>
      </c>
    </row>
    <row r="639">
      <c r="A639" s="25" t="inlineStr">
        <is>
          <t>ORD-10302</t>
        </is>
      </c>
      <c r="B639" s="25" t="inlineStr">
        <is>
          <t>27-Mar-2025</t>
        </is>
      </c>
      <c r="C639" s="25" t="inlineStr">
        <is>
          <t>West</t>
        </is>
      </c>
      <c r="D639" s="25" t="inlineStr">
        <is>
          <t>Furniture</t>
        </is>
      </c>
      <c r="E639" s="25" t="inlineStr">
        <is>
          <t>Standing Desk</t>
        </is>
      </c>
      <c r="F639" s="25" t="n">
        <v>1</v>
      </c>
      <c r="G639" s="25" t="n">
        <v>19500</v>
      </c>
      <c r="H639" s="28" t="n">
        <v>0.1</v>
      </c>
      <c r="I639" s="25" t="n">
        <v>13800</v>
      </c>
    </row>
    <row r="640">
      <c r="A640" s="25" t="inlineStr">
        <is>
          <t>ORD-10355</t>
        </is>
      </c>
      <c r="B640" s="26" t="n">
        <v>45767</v>
      </c>
      <c r="C640" s="25" t="inlineStr">
        <is>
          <t>North</t>
        </is>
      </c>
      <c r="D640" s="25" t="inlineStr">
        <is>
          <t>Office Supplies</t>
        </is>
      </c>
      <c r="E640" s="25" t="inlineStr">
        <is>
          <t>Desk Organizer</t>
        </is>
      </c>
      <c r="F640" s="25" t="n">
        <v>4</v>
      </c>
      <c r="G640" s="25" t="n">
        <v>850</v>
      </c>
      <c r="H640" s="28" t="n">
        <v>0.1</v>
      </c>
      <c r="I640" s="25" t="n">
        <v>420</v>
      </c>
    </row>
    <row r="641">
      <c r="A641" s="25" t="inlineStr">
        <is>
          <t>ORD-10590</t>
        </is>
      </c>
      <c r="B641" s="25" t="inlineStr">
        <is>
          <t>25-Nov-2025</t>
        </is>
      </c>
      <c r="C641" s="25" t="inlineStr">
        <is>
          <t>South</t>
        </is>
      </c>
      <c r="D641" s="25" t="inlineStr">
        <is>
          <t>Office Supplies</t>
        </is>
      </c>
      <c r="E641" s="25" t="inlineStr">
        <is>
          <t>Printer Paper Box</t>
        </is>
      </c>
      <c r="F641" s="25" t="n">
        <v>1</v>
      </c>
      <c r="G641" s="25" t="n">
        <v>1600</v>
      </c>
      <c r="H641" s="28" t="n">
        <v>0</v>
      </c>
      <c r="I641" s="25" t="n">
        <v>1050</v>
      </c>
    </row>
    <row r="642">
      <c r="A642" s="25" t="inlineStr">
        <is>
          <t>ORD-10370</t>
        </is>
      </c>
      <c r="B642" s="26" t="n">
        <v>45840</v>
      </c>
      <c r="C642" s="25" t="inlineStr">
        <is>
          <t>North</t>
        </is>
      </c>
      <c r="D642" s="25" t="inlineStr">
        <is>
          <t>Technology</t>
        </is>
      </c>
      <c r="E642" s="25" t="inlineStr">
        <is>
          <t>Monitor 24"</t>
        </is>
      </c>
      <c r="F642" s="25" t="n">
        <v>2</v>
      </c>
      <c r="G642" s="25" t="n">
        <v>11500</v>
      </c>
      <c r="H642" s="28" t="n">
        <v>0.05</v>
      </c>
      <c r="I642" s="25" t="n">
        <v>8200</v>
      </c>
    </row>
    <row r="643">
      <c r="A643" s="25" t="inlineStr">
        <is>
          <t>ORD-10977</t>
        </is>
      </c>
      <c r="B643" s="25" t="inlineStr">
        <is>
          <t>16-Sep-2025</t>
        </is>
      </c>
      <c r="C643" s="25" t="inlineStr">
        <is>
          <t>North</t>
        </is>
      </c>
      <c r="D643" s="25" t="inlineStr">
        <is>
          <t>Office Supplies</t>
        </is>
      </c>
      <c r="E643" s="25" t="inlineStr">
        <is>
          <t>Desk Organizer</t>
        </is>
      </c>
      <c r="F643" s="25" t="n">
        <v>4</v>
      </c>
      <c r="G643" s="25" t="n">
        <v>850</v>
      </c>
      <c r="H643" s="28" t="n">
        <v>0</v>
      </c>
      <c r="I643" s="25" t="n">
        <v>420</v>
      </c>
    </row>
    <row r="644">
      <c r="A644" s="25" t="inlineStr">
        <is>
          <t>ORD-10990</t>
        </is>
      </c>
      <c r="B644" s="26" t="n">
        <v>45970</v>
      </c>
      <c r="C644" s="25" t="inlineStr">
        <is>
          <t>East</t>
        </is>
      </c>
      <c r="D644" s="25" t="inlineStr">
        <is>
          <t>Accessories</t>
        </is>
      </c>
      <c r="E644" s="25" t="inlineStr">
        <is>
          <t>USB-C Hub</t>
        </is>
      </c>
      <c r="F644" s="25" t="n">
        <v>1</v>
      </c>
      <c r="G644" s="25" t="n">
        <v>1800</v>
      </c>
      <c r="H644" s="28" t="n">
        <v>0</v>
      </c>
      <c r="I644" s="25" t="n">
        <v>980</v>
      </c>
    </row>
    <row r="645">
      <c r="A645" s="25" t="inlineStr">
        <is>
          <t>ORD-10677</t>
        </is>
      </c>
      <c r="B645" s="26" t="n">
        <v>45857</v>
      </c>
      <c r="C645" s="25" t="inlineStr">
        <is>
          <t>East</t>
        </is>
      </c>
      <c r="D645" s="25" t="inlineStr">
        <is>
          <t>Office Supplies</t>
        </is>
      </c>
      <c r="E645" s="25" t="inlineStr">
        <is>
          <t>Desk Organizer</t>
        </is>
      </c>
      <c r="F645" s="25" t="n">
        <v>2</v>
      </c>
      <c r="G645" s="25" t="n">
        <v>850</v>
      </c>
      <c r="H645" s="28" t="n">
        <v>0</v>
      </c>
      <c r="I645" s="25" t="n">
        <v>420</v>
      </c>
    </row>
    <row r="646">
      <c r="A646" s="25" t="inlineStr">
        <is>
          <t>ORD-11121</t>
        </is>
      </c>
      <c r="B646" s="26" t="n">
        <v>45979</v>
      </c>
      <c r="C646" s="25" t="inlineStr">
        <is>
          <t>South</t>
        </is>
      </c>
      <c r="D646" s="25" t="inlineStr">
        <is>
          <t>Furniture</t>
        </is>
      </c>
      <c r="E646" s="25" t="inlineStr">
        <is>
          <t>Office Chair</t>
        </is>
      </c>
      <c r="F646" s="25" t="n">
        <v>2</v>
      </c>
      <c r="G646" s="25" t="n">
        <v>8500</v>
      </c>
      <c r="H646" s="28" t="n">
        <v>0</v>
      </c>
      <c r="I646" s="25" t="n">
        <v>5600</v>
      </c>
    </row>
    <row r="647">
      <c r="A647" s="25" t="inlineStr">
        <is>
          <t>ORD-10054</t>
        </is>
      </c>
      <c r="B647" s="26" t="n">
        <v>45823</v>
      </c>
      <c r="C647" s="25" t="inlineStr">
        <is>
          <t>North</t>
        </is>
      </c>
      <c r="D647" s="25" t="inlineStr">
        <is>
          <t>Office Supplies</t>
        </is>
      </c>
      <c r="E647" s="25" t="inlineStr">
        <is>
          <t>Desk Organizer</t>
        </is>
      </c>
      <c r="F647" s="25" t="n">
        <v>1</v>
      </c>
      <c r="G647" s="25" t="n">
        <v>850</v>
      </c>
      <c r="H647" s="28" t="n">
        <v>0</v>
      </c>
      <c r="I647" s="25" t="n">
        <v>420</v>
      </c>
    </row>
    <row r="648">
      <c r="A648" s="25" t="inlineStr">
        <is>
          <t>ORD-10049</t>
        </is>
      </c>
      <c r="B648" s="26" t="n">
        <v>45871</v>
      </c>
      <c r="C648" s="25" t="inlineStr">
        <is>
          <t>South</t>
        </is>
      </c>
      <c r="D648" s="25" t="inlineStr">
        <is>
          <t>Office Supplies</t>
        </is>
      </c>
      <c r="E648" s="25" t="inlineStr">
        <is>
          <t>Notebook Set</t>
        </is>
      </c>
      <c r="F648" s="25" t="n">
        <v>6</v>
      </c>
      <c r="G648" s="25" t="n">
        <v>450</v>
      </c>
      <c r="H648" s="28" t="n">
        <v>0</v>
      </c>
      <c r="I648" s="25" t="n">
        <v>190</v>
      </c>
    </row>
    <row r="649">
      <c r="A649" s="25" t="inlineStr">
        <is>
          <t>ORD-11016</t>
        </is>
      </c>
      <c r="B649" s="26" t="n">
        <v>45771</v>
      </c>
      <c r="C649" s="25" t="inlineStr">
        <is>
          <t>North</t>
        </is>
      </c>
      <c r="D649" s="25" t="inlineStr">
        <is>
          <t>Office Supplies</t>
        </is>
      </c>
      <c r="E649" s="25" t="inlineStr">
        <is>
          <t>Printer Paper Box</t>
        </is>
      </c>
      <c r="F649" s="25" t="n">
        <v>1</v>
      </c>
      <c r="G649" s="25" t="n">
        <v>1600</v>
      </c>
      <c r="H649" s="28" t="n">
        <v>0</v>
      </c>
      <c r="I649" s="25" t="n">
        <v>1050</v>
      </c>
    </row>
    <row r="650">
      <c r="A650" s="25" t="inlineStr">
        <is>
          <t>ORD-11089</t>
        </is>
      </c>
      <c r="B650" s="26" t="n">
        <v>45797</v>
      </c>
      <c r="C650" s="25" t="inlineStr">
        <is>
          <t>West</t>
        </is>
      </c>
      <c r="D650" s="25" t="inlineStr">
        <is>
          <t>Office Supplies</t>
        </is>
      </c>
      <c r="E650" s="25" t="inlineStr">
        <is>
          <t>Printer Paper Box</t>
        </is>
      </c>
      <c r="F650" s="25" t="n">
        <v>5</v>
      </c>
      <c r="G650" s="25" t="n">
        <v>1600</v>
      </c>
      <c r="H650" s="28" t="n">
        <v>0</v>
      </c>
      <c r="I650" s="25" t="n">
        <v>1050</v>
      </c>
    </row>
    <row r="651">
      <c r="A651" s="25" t="inlineStr">
        <is>
          <t>ORD-10656</t>
        </is>
      </c>
      <c r="B651" s="26" t="n">
        <v>45693</v>
      </c>
      <c r="C651" s="25" t="inlineStr">
        <is>
          <t>West</t>
        </is>
      </c>
      <c r="D651" s="25" t="inlineStr">
        <is>
          <t>Accessories</t>
        </is>
      </c>
      <c r="E651" s="25" t="inlineStr">
        <is>
          <t>Webcam</t>
        </is>
      </c>
      <c r="F651" s="25" t="n">
        <v>2</v>
      </c>
      <c r="G651" s="25" t="n">
        <v>3200</v>
      </c>
      <c r="H651" s="28" t="n">
        <v>0</v>
      </c>
      <c r="I651" s="25" t="n">
        <v>1900</v>
      </c>
    </row>
    <row r="652">
      <c r="A652" s="25" t="inlineStr">
        <is>
          <t>ORD-10296</t>
        </is>
      </c>
      <c r="B652" s="26" t="n">
        <v>45738</v>
      </c>
      <c r="C652" s="25" t="inlineStr">
        <is>
          <t>North</t>
        </is>
      </c>
      <c r="D652" s="25" t="inlineStr">
        <is>
          <t>Office Supplies</t>
        </is>
      </c>
      <c r="E652" s="25" t="inlineStr">
        <is>
          <t>Printer Paper Box</t>
        </is>
      </c>
      <c r="F652" s="25" t="n">
        <v>3</v>
      </c>
      <c r="G652" s="25" t="n">
        <v>1600</v>
      </c>
      <c r="H652" s="28" t="n">
        <v>0.1</v>
      </c>
      <c r="I652" s="25" t="n">
        <v>1050</v>
      </c>
    </row>
    <row r="653">
      <c r="A653" s="25" t="inlineStr">
        <is>
          <t>ORD-10586</t>
        </is>
      </c>
      <c r="B653" s="26" t="n">
        <v>45922</v>
      </c>
      <c r="C653" s="25" t="inlineStr">
        <is>
          <t>South</t>
        </is>
      </c>
      <c r="D653" s="25" t="inlineStr">
        <is>
          <t>Accessories</t>
        </is>
      </c>
      <c r="E653" s="25" t="inlineStr">
        <is>
          <t>Headphones</t>
        </is>
      </c>
      <c r="F653" s="25" t="n">
        <v>2</v>
      </c>
      <c r="G653" s="25" t="n">
        <v>4500</v>
      </c>
      <c r="H653" s="28" t="n">
        <v>0</v>
      </c>
      <c r="I653" s="25" t="n">
        <v>2600</v>
      </c>
    </row>
    <row r="654">
      <c r="A654" s="25" t="inlineStr">
        <is>
          <t>ORD-10272</t>
        </is>
      </c>
      <c r="B654" s="26" t="n">
        <v>45771</v>
      </c>
      <c r="C654" s="25" t="inlineStr">
        <is>
          <t>West</t>
        </is>
      </c>
      <c r="D654" s="25" t="inlineStr">
        <is>
          <t>Office Supplies</t>
        </is>
      </c>
      <c r="E654" s="25" t="inlineStr">
        <is>
          <t>Desk Organizer</t>
        </is>
      </c>
      <c r="F654" s="25" t="n">
        <v>2</v>
      </c>
      <c r="G654" s="25" t="n">
        <v>850</v>
      </c>
      <c r="H654" s="28" t="n">
        <v>0</v>
      </c>
      <c r="I654" s="25" t="n">
        <v>420</v>
      </c>
    </row>
    <row r="655">
      <c r="A655" s="25" t="inlineStr">
        <is>
          <t>ORD-10927</t>
        </is>
      </c>
      <c r="B655" s="26" t="n">
        <v>45985</v>
      </c>
      <c r="C655" s="25" t="inlineStr">
        <is>
          <t>South</t>
        </is>
      </c>
      <c r="D655" s="25" t="inlineStr">
        <is>
          <t>Accessories</t>
        </is>
      </c>
      <c r="E655" s="25" t="inlineStr">
        <is>
          <t>USB-C Hub</t>
        </is>
      </c>
      <c r="F655" s="25" t="n">
        <v>4</v>
      </c>
      <c r="G655" s="25" t="n">
        <v>1800</v>
      </c>
      <c r="H655" s="28" t="n">
        <v>0.1</v>
      </c>
      <c r="I655" s="25" t="n">
        <v>980</v>
      </c>
    </row>
    <row r="656">
      <c r="A656" s="25" t="inlineStr">
        <is>
          <t>ORD-10446</t>
        </is>
      </c>
      <c r="B656" s="26" t="n">
        <v>45933</v>
      </c>
      <c r="C656" s="25" t="inlineStr">
        <is>
          <t>South</t>
        </is>
      </c>
      <c r="D656" s="25" t="inlineStr">
        <is>
          <t>Accessories</t>
        </is>
      </c>
      <c r="E656" s="25" t="inlineStr">
        <is>
          <t>USB-C Hub</t>
        </is>
      </c>
      <c r="F656" s="25" t="n">
        <v>2</v>
      </c>
      <c r="G656" s="25" t="n">
        <v>1800</v>
      </c>
      <c r="H656" s="28" t="n">
        <v>0.1</v>
      </c>
      <c r="I656" s="25" t="n">
        <v>980</v>
      </c>
    </row>
    <row r="657">
      <c r="A657" s="25" t="inlineStr">
        <is>
          <t>ORD-10799</t>
        </is>
      </c>
      <c r="B657" s="25" t="inlineStr">
        <is>
          <t>25-May-2025</t>
        </is>
      </c>
      <c r="C657" s="25" t="inlineStr">
        <is>
          <t>North</t>
        </is>
      </c>
      <c r="D657" s="25" t="inlineStr">
        <is>
          <t>Furniture</t>
        </is>
      </c>
      <c r="E657" s="25" t="inlineStr">
        <is>
          <t>Standing Desk</t>
        </is>
      </c>
      <c r="F657" s="25" t="n">
        <v>1</v>
      </c>
      <c r="G657" s="25" t="n">
        <v>19500</v>
      </c>
      <c r="H657" s="28" t="n">
        <v>0</v>
      </c>
      <c r="I657" s="25" t="n">
        <v>13800</v>
      </c>
    </row>
    <row r="658">
      <c r="A658" s="25" t="inlineStr">
        <is>
          <t>ORD-10008</t>
        </is>
      </c>
      <c r="B658" s="26" t="n">
        <v>45722</v>
      </c>
      <c r="C658" s="25" t="inlineStr">
        <is>
          <t>south</t>
        </is>
      </c>
      <c r="D658" s="25" t="inlineStr">
        <is>
          <t>Technology</t>
        </is>
      </c>
      <c r="E658" s="25" t="inlineStr">
        <is>
          <t>Wireless Mouse</t>
        </is>
      </c>
      <c r="F658" s="25" t="n">
        <v>4</v>
      </c>
      <c r="G658" s="25" t="n">
        <v>1200</v>
      </c>
      <c r="H658" s="28" t="n">
        <v>0.1</v>
      </c>
      <c r="I658" s="25" t="n">
        <v>650</v>
      </c>
    </row>
    <row r="659">
      <c r="A659" s="25" t="inlineStr">
        <is>
          <t>ORD-10120</t>
        </is>
      </c>
      <c r="B659" s="25" t="inlineStr">
        <is>
          <t>07-Sep-2025</t>
        </is>
      </c>
      <c r="C659" s="25" t="inlineStr">
        <is>
          <t xml:space="preserve"> North </t>
        </is>
      </c>
      <c r="D659" s="25" t="inlineStr">
        <is>
          <t>Technology</t>
        </is>
      </c>
      <c r="E659" s="25" t="inlineStr">
        <is>
          <t>Wireless Mouse</t>
        </is>
      </c>
      <c r="F659" s="25" t="n">
        <v>2</v>
      </c>
      <c r="G659" s="25" t="n">
        <v>1200</v>
      </c>
      <c r="H659" s="28" t="n">
        <v>0</v>
      </c>
      <c r="I659" s="25" t="n">
        <v>650</v>
      </c>
    </row>
    <row r="660">
      <c r="A660" s="25" t="inlineStr">
        <is>
          <t>ORD-10797</t>
        </is>
      </c>
      <c r="B660" s="26" t="n">
        <v>45733</v>
      </c>
      <c r="C660" s="25" t="inlineStr">
        <is>
          <t>South</t>
        </is>
      </c>
      <c r="D660" s="25" t="inlineStr">
        <is>
          <t>Furniture</t>
        </is>
      </c>
      <c r="E660" s="25" t="inlineStr">
        <is>
          <t>Bookshelf</t>
        </is>
      </c>
      <c r="F660" s="25" t="n">
        <v>2</v>
      </c>
      <c r="G660" s="25" t="n">
        <v>6200</v>
      </c>
      <c r="H660" s="28" t="n">
        <v>0</v>
      </c>
      <c r="I660" s="25" t="n">
        <v>4100</v>
      </c>
    </row>
    <row r="661">
      <c r="A661" s="25" t="inlineStr">
        <is>
          <t>ORD-11120</t>
        </is>
      </c>
      <c r="B661" s="26" t="n">
        <v>45694</v>
      </c>
      <c r="C661" s="25" t="inlineStr">
        <is>
          <t>West</t>
        </is>
      </c>
      <c r="D661" s="25" t="inlineStr">
        <is>
          <t>Technology</t>
        </is>
      </c>
      <c r="E661" s="25" t="inlineStr">
        <is>
          <t>Wireless Mouse</t>
        </is>
      </c>
      <c r="F661" s="25" t="n">
        <v>5</v>
      </c>
      <c r="G661" s="25" t="n">
        <v>1200</v>
      </c>
      <c r="H661" s="28" t="n">
        <v>0</v>
      </c>
      <c r="I661" s="25" t="n">
        <v>650</v>
      </c>
    </row>
    <row r="662">
      <c r="A662" s="25" t="inlineStr">
        <is>
          <t>ORD-10683</t>
        </is>
      </c>
      <c r="B662" s="26" t="n">
        <v>45950</v>
      </c>
      <c r="C662" s="25" t="inlineStr">
        <is>
          <t>South</t>
        </is>
      </c>
      <c r="D662" s="25" t="inlineStr">
        <is>
          <t>Furniture</t>
        </is>
      </c>
      <c r="E662" s="25" t="inlineStr">
        <is>
          <t>Bookshelf</t>
        </is>
      </c>
      <c r="F662" s="25" t="n">
        <v>2</v>
      </c>
      <c r="G662" s="25" t="n">
        <v>6200</v>
      </c>
      <c r="H662" s="28" t="n">
        <v>0.15</v>
      </c>
      <c r="I662" s="25" t="n">
        <v>4100</v>
      </c>
    </row>
    <row r="663">
      <c r="A663" s="25" t="inlineStr">
        <is>
          <t>ORD-10861</t>
        </is>
      </c>
      <c r="B663" s="26" t="n">
        <v>45723</v>
      </c>
      <c r="C663" s="25" t="inlineStr">
        <is>
          <t>North</t>
        </is>
      </c>
      <c r="D663" s="25" t="inlineStr">
        <is>
          <t>Furniture</t>
        </is>
      </c>
      <c r="E663" s="25" t="inlineStr">
        <is>
          <t>Bookshelf</t>
        </is>
      </c>
      <c r="F663" s="25" t="n">
        <v>2</v>
      </c>
      <c r="G663" s="25" t="n">
        <v>6200</v>
      </c>
      <c r="H663" s="28" t="n">
        <v>0.05</v>
      </c>
      <c r="I663" s="25" t="n">
        <v>4100</v>
      </c>
    </row>
    <row r="664">
      <c r="A664" s="25" t="inlineStr">
        <is>
          <t>ORD-10469</t>
        </is>
      </c>
      <c r="B664" s="26" t="n">
        <v>45662</v>
      </c>
      <c r="C664" s="25" t="inlineStr">
        <is>
          <t>West</t>
        </is>
      </c>
      <c r="D664" s="25" t="inlineStr">
        <is>
          <t>Accessories</t>
        </is>
      </c>
      <c r="E664" s="25" t="inlineStr">
        <is>
          <t>Webcam</t>
        </is>
      </c>
      <c r="F664" s="25" t="n">
        <v>2</v>
      </c>
      <c r="G664" s="25" t="n">
        <v>3200</v>
      </c>
      <c r="H664" s="28" t="n">
        <v>0</v>
      </c>
      <c r="I664" s="25" t="n">
        <v>1900</v>
      </c>
    </row>
    <row r="665">
      <c r="A665" s="25" t="inlineStr">
        <is>
          <t>ORD-10139</t>
        </is>
      </c>
      <c r="B665" s="26" t="n">
        <v>45986</v>
      </c>
      <c r="C665" s="25" t="inlineStr">
        <is>
          <t>South</t>
        </is>
      </c>
      <c r="D665" s="25" t="inlineStr">
        <is>
          <t>Office Supplies</t>
        </is>
      </c>
      <c r="E665" s="25" t="inlineStr">
        <is>
          <t>Printer Paper Box</t>
        </is>
      </c>
      <c r="F665" s="25" t="n">
        <v>5</v>
      </c>
      <c r="G665" s="25" t="n">
        <v>1600</v>
      </c>
      <c r="H665" s="28" t="n">
        <v>0.15</v>
      </c>
      <c r="I665" s="25" t="n">
        <v>1050</v>
      </c>
    </row>
    <row r="666">
      <c r="A666" s="25" t="inlineStr">
        <is>
          <t>ORD-10541</t>
        </is>
      </c>
      <c r="B666" s="26" t="n">
        <v>45985</v>
      </c>
      <c r="C666" s="25" t="inlineStr">
        <is>
          <t>South</t>
        </is>
      </c>
      <c r="D666" s="25" t="inlineStr">
        <is>
          <t>Furniture</t>
        </is>
      </c>
      <c r="E666" s="25" t="inlineStr">
        <is>
          <t>Standing Desk</t>
        </is>
      </c>
      <c r="F666" s="25" t="n">
        <v>1</v>
      </c>
      <c r="G666" s="25" t="n">
        <v>19500</v>
      </c>
      <c r="H666" s="28" t="n">
        <v>0</v>
      </c>
      <c r="I666" s="25" t="n">
        <v>13800</v>
      </c>
    </row>
    <row r="667">
      <c r="A667" s="25" t="inlineStr">
        <is>
          <t>ORD-10019</t>
        </is>
      </c>
      <c r="B667" s="26" t="n">
        <v>45785</v>
      </c>
      <c r="C667" s="25" t="inlineStr">
        <is>
          <t>South</t>
        </is>
      </c>
      <c r="D667" s="25" t="inlineStr">
        <is>
          <t>Furniture</t>
        </is>
      </c>
      <c r="E667" s="25" t="inlineStr">
        <is>
          <t>Bookshelf</t>
        </is>
      </c>
      <c r="F667" s="25" t="n">
        <v>1</v>
      </c>
      <c r="G667" s="25" t="n">
        <v>6200</v>
      </c>
      <c r="H667" s="28" t="n">
        <v>0.2</v>
      </c>
      <c r="I667" s="25" t="n">
        <v>4100</v>
      </c>
    </row>
    <row r="668">
      <c r="A668" s="25" t="inlineStr">
        <is>
          <t>ORD-10384</t>
        </is>
      </c>
      <c r="B668" s="26" t="n">
        <v>45971</v>
      </c>
      <c r="C668" s="25" t="inlineStr">
        <is>
          <t>North</t>
        </is>
      </c>
      <c r="D668" s="25" t="inlineStr">
        <is>
          <t>Accessories</t>
        </is>
      </c>
      <c r="E668" s="25" t="inlineStr">
        <is>
          <t>Webcam</t>
        </is>
      </c>
      <c r="F668" s="25" t="n">
        <v>3</v>
      </c>
      <c r="G668" s="25" t="n">
        <v>3200</v>
      </c>
      <c r="H668" s="28" t="n">
        <v>0.15</v>
      </c>
      <c r="I668" s="25" t="n">
        <v>1900</v>
      </c>
    </row>
    <row r="669">
      <c r="A669" s="25" t="inlineStr">
        <is>
          <t>ORD-11071</t>
        </is>
      </c>
      <c r="B669" s="25" t="inlineStr">
        <is>
          <t>02-Nov-2025</t>
        </is>
      </c>
      <c r="C669" s="25" t="inlineStr">
        <is>
          <t>North</t>
        </is>
      </c>
      <c r="D669" s="25" t="inlineStr">
        <is>
          <t>Office Supplies</t>
        </is>
      </c>
      <c r="E669" s="25" t="inlineStr">
        <is>
          <t>Printer Paper Box</t>
        </is>
      </c>
      <c r="F669" s="25" t="n">
        <v>1</v>
      </c>
      <c r="G669" s="25" t="n">
        <v>1600</v>
      </c>
      <c r="H669" s="28" t="n">
        <v>0.05</v>
      </c>
      <c r="I669" s="25" t="n">
        <v>1050</v>
      </c>
    </row>
    <row r="670">
      <c r="A670" s="25" t="inlineStr">
        <is>
          <t>ORD-10324</t>
        </is>
      </c>
      <c r="B670" s="26" t="n">
        <v>45927</v>
      </c>
      <c r="C670" s="25" t="inlineStr">
        <is>
          <t xml:space="preserve">South </t>
        </is>
      </c>
      <c r="D670" s="25" t="inlineStr">
        <is>
          <t>Office Supplies</t>
        </is>
      </c>
      <c r="E670" s="25" t="inlineStr">
        <is>
          <t>Desk Organizer</t>
        </is>
      </c>
      <c r="F670" s="25" t="n">
        <v>1</v>
      </c>
      <c r="G670" s="25" t="n">
        <v>850</v>
      </c>
      <c r="H670" s="28" t="n">
        <v>0</v>
      </c>
      <c r="I670" s="25" t="n">
        <v>420</v>
      </c>
    </row>
    <row r="671">
      <c r="A671" s="25" t="inlineStr">
        <is>
          <t>ORD-10824</t>
        </is>
      </c>
      <c r="B671" s="26" t="n">
        <v>45725</v>
      </c>
      <c r="C671" s="25" t="inlineStr">
        <is>
          <t>West</t>
        </is>
      </c>
      <c r="D671" s="25" t="inlineStr">
        <is>
          <t>Accessories</t>
        </is>
      </c>
      <c r="E671" s="25" t="inlineStr">
        <is>
          <t>USB-C Hub</t>
        </is>
      </c>
      <c r="F671" s="25" t="n">
        <v>2</v>
      </c>
      <c r="G671" s="25" t="n">
        <v>1800</v>
      </c>
      <c r="H671" s="28" t="n">
        <v>0</v>
      </c>
      <c r="I671" s="25" t="n">
        <v>980</v>
      </c>
    </row>
    <row r="672">
      <c r="A672" s="25" t="inlineStr">
        <is>
          <t>ORD-11061</t>
        </is>
      </c>
      <c r="B672" s="25" t="inlineStr">
        <is>
          <t>22-Nov-2025</t>
        </is>
      </c>
      <c r="C672" s="25" t="inlineStr">
        <is>
          <t>West</t>
        </is>
      </c>
      <c r="D672" s="25" t="inlineStr">
        <is>
          <t>Office Supplies</t>
        </is>
      </c>
      <c r="E672" s="25" t="inlineStr">
        <is>
          <t>Notebook Set</t>
        </is>
      </c>
      <c r="F672" s="25" t="n">
        <v>7</v>
      </c>
      <c r="G672" s="25" t="n">
        <v>450</v>
      </c>
      <c r="H672" s="28" t="n">
        <v>0.05</v>
      </c>
      <c r="I672" s="25" t="n">
        <v>190</v>
      </c>
    </row>
    <row r="673">
      <c r="A673" s="25" t="inlineStr">
        <is>
          <t>ORD-11096</t>
        </is>
      </c>
      <c r="B673" s="26" t="n">
        <v>45754</v>
      </c>
      <c r="C673" s="25" t="inlineStr">
        <is>
          <t>West</t>
        </is>
      </c>
      <c r="D673" s="25" t="inlineStr">
        <is>
          <t>Accessories</t>
        </is>
      </c>
      <c r="E673" s="25" t="inlineStr">
        <is>
          <t>Webcam</t>
        </is>
      </c>
      <c r="F673" s="25" t="n">
        <v>3</v>
      </c>
      <c r="G673" s="25" t="n">
        <v>3200</v>
      </c>
      <c r="H673" s="28" t="n">
        <v>0</v>
      </c>
      <c r="I673" s="25" t="n">
        <v>1900</v>
      </c>
    </row>
    <row r="674">
      <c r="A674" s="25" t="inlineStr">
        <is>
          <t>ORD-10717</t>
        </is>
      </c>
      <c r="B674" s="26" t="n">
        <v>45865</v>
      </c>
      <c r="C674" s="25" t="inlineStr">
        <is>
          <t>West</t>
        </is>
      </c>
      <c r="D674" s="25" t="inlineStr">
        <is>
          <t>Office Supplies</t>
        </is>
      </c>
      <c r="E674" s="25" t="inlineStr">
        <is>
          <t>Desk Organizer</t>
        </is>
      </c>
      <c r="F674" s="25" t="n">
        <v>4</v>
      </c>
      <c r="G674" s="25" t="n">
        <v>850</v>
      </c>
      <c r="H674" s="28" t="n">
        <v>0</v>
      </c>
      <c r="I674" s="25" t="n">
        <v>420</v>
      </c>
    </row>
    <row r="675">
      <c r="A675" s="25" t="inlineStr">
        <is>
          <t>ORD-10356</t>
        </is>
      </c>
      <c r="B675" s="26" t="n">
        <v>45989</v>
      </c>
      <c r="C675" s="25" t="inlineStr">
        <is>
          <t>SOUTH</t>
        </is>
      </c>
      <c r="D675" s="25" t="inlineStr">
        <is>
          <t>Office Supplies</t>
        </is>
      </c>
      <c r="E675" s="25" t="inlineStr">
        <is>
          <t>Printer Paper Box</t>
        </is>
      </c>
      <c r="F675" s="25" t="n">
        <v>1</v>
      </c>
      <c r="G675" s="25" t="n">
        <v>1600</v>
      </c>
      <c r="H675" s="28" t="n">
        <v>0</v>
      </c>
      <c r="I675" s="25" t="n">
        <v>1050</v>
      </c>
    </row>
    <row r="676">
      <c r="A676" s="25" t="inlineStr">
        <is>
          <t>ORD-10518</t>
        </is>
      </c>
      <c r="B676" s="26" t="n">
        <v>45708</v>
      </c>
      <c r="C676" s="25" t="inlineStr">
        <is>
          <t>East</t>
        </is>
      </c>
      <c r="D676" s="25" t="inlineStr">
        <is>
          <t>Office Supplies</t>
        </is>
      </c>
      <c r="E676" s="25" t="inlineStr">
        <is>
          <t>Desk Organizer</t>
        </is>
      </c>
      <c r="F676" s="25" t="n">
        <v>4</v>
      </c>
      <c r="G676" s="25" t="n">
        <v>850</v>
      </c>
      <c r="H676" s="28" t="n">
        <v>0</v>
      </c>
      <c r="I676" s="25" t="n">
        <v>420</v>
      </c>
    </row>
    <row r="677">
      <c r="A677" s="25" t="inlineStr">
        <is>
          <t>ORD-10890</t>
        </is>
      </c>
      <c r="B677" s="26" t="n">
        <v>45761</v>
      </c>
      <c r="C677" s="25" t="inlineStr">
        <is>
          <t>North</t>
        </is>
      </c>
      <c r="D677" s="25" t="inlineStr">
        <is>
          <t>Accessories</t>
        </is>
      </c>
      <c r="E677" s="25" t="inlineStr">
        <is>
          <t>USB-C Hub</t>
        </is>
      </c>
      <c r="F677" s="25" t="n">
        <v>2</v>
      </c>
      <c r="G677" s="25" t="n">
        <v>1800</v>
      </c>
      <c r="H677" s="28" t="n">
        <v>0.15</v>
      </c>
      <c r="I677" s="25" t="n">
        <v>980</v>
      </c>
    </row>
    <row r="678">
      <c r="A678" s="25" t="inlineStr">
        <is>
          <t>ORD-10624</t>
        </is>
      </c>
      <c r="B678" s="25" t="inlineStr">
        <is>
          <t>27-Mar-2025</t>
        </is>
      </c>
      <c r="C678" s="25" t="inlineStr">
        <is>
          <t>West</t>
        </is>
      </c>
      <c r="D678" s="25" t="inlineStr">
        <is>
          <t>Furniture</t>
        </is>
      </c>
      <c r="E678" s="25" t="inlineStr">
        <is>
          <t>Office Chair</t>
        </is>
      </c>
      <c r="F678" s="25" t="n">
        <v>1</v>
      </c>
      <c r="G678" s="25" t="n">
        <v>8500</v>
      </c>
      <c r="H678" s="28" t="n">
        <v>0</v>
      </c>
      <c r="I678" s="25" t="n">
        <v>5600</v>
      </c>
    </row>
    <row r="679">
      <c r="A679" s="25" t="inlineStr">
        <is>
          <t>ORD-11001</t>
        </is>
      </c>
      <c r="B679" s="26" t="n">
        <v>45763</v>
      </c>
      <c r="C679" s="25" t="inlineStr">
        <is>
          <t>South</t>
        </is>
      </c>
      <c r="D679" s="25" t="inlineStr">
        <is>
          <t>Technology</t>
        </is>
      </c>
      <c r="E679" s="25" t="inlineStr">
        <is>
          <t>Wireless Mouse</t>
        </is>
      </c>
      <c r="F679" s="25" t="n">
        <v>2</v>
      </c>
      <c r="G679" s="25" t="n">
        <v>1200</v>
      </c>
      <c r="H679" s="28" t="n">
        <v>0.2</v>
      </c>
      <c r="I679" s="25" t="n">
        <v>650</v>
      </c>
    </row>
    <row r="680">
      <c r="A680" s="25" t="inlineStr">
        <is>
          <t>ORD-10472</t>
        </is>
      </c>
      <c r="B680" s="25" t="inlineStr">
        <is>
          <t>17-Sep-2025</t>
        </is>
      </c>
      <c r="C680" s="25" t="inlineStr">
        <is>
          <t>South</t>
        </is>
      </c>
      <c r="D680" s="25" t="inlineStr">
        <is>
          <t>Accessories</t>
        </is>
      </c>
      <c r="E680" s="25" t="inlineStr">
        <is>
          <t>USB-C Hub</t>
        </is>
      </c>
      <c r="F680" s="25" t="n">
        <v>3</v>
      </c>
      <c r="G680" s="25" t="n">
        <v>1800</v>
      </c>
      <c r="H680" s="28" t="n">
        <v>0</v>
      </c>
      <c r="I680" s="25" t="n">
        <v>980</v>
      </c>
    </row>
    <row r="681">
      <c r="A681" s="25" t="inlineStr">
        <is>
          <t>ORD-10625</t>
        </is>
      </c>
      <c r="B681" s="26" t="n">
        <v>46005</v>
      </c>
      <c r="C681" s="25" t="inlineStr">
        <is>
          <t>north</t>
        </is>
      </c>
      <c r="D681" s="25" t="inlineStr">
        <is>
          <t>Office Supplies</t>
        </is>
      </c>
      <c r="E681" s="25" t="inlineStr">
        <is>
          <t>Printer Paper Box</t>
        </is>
      </c>
      <c r="F681" s="25" t="n">
        <v>2</v>
      </c>
      <c r="G681" s="25" t="n">
        <v>1600</v>
      </c>
      <c r="H681" s="28" t="n">
        <v>0</v>
      </c>
      <c r="I681" s="25" t="n">
        <v>1050</v>
      </c>
    </row>
    <row r="682">
      <c r="A682" s="25" t="inlineStr">
        <is>
          <t>ORD-10929</t>
        </is>
      </c>
      <c r="B682" s="26" t="n">
        <v>45968</v>
      </c>
      <c r="C682" s="25" t="inlineStr">
        <is>
          <t>West</t>
        </is>
      </c>
      <c r="D682" s="25" t="inlineStr">
        <is>
          <t>Office Supplies</t>
        </is>
      </c>
      <c r="E682" s="25" t="inlineStr">
        <is>
          <t>Notebook Set</t>
        </is>
      </c>
      <c r="F682" s="25" t="n">
        <v>7</v>
      </c>
      <c r="G682" s="25" t="n">
        <v>450</v>
      </c>
      <c r="H682" s="28" t="n">
        <v>0.2</v>
      </c>
      <c r="I682" s="25" t="n">
        <v>190</v>
      </c>
    </row>
    <row r="683">
      <c r="A683" s="25" t="inlineStr">
        <is>
          <t>ORD-11190</t>
        </is>
      </c>
      <c r="B683" s="26" t="n">
        <v>45851</v>
      </c>
      <c r="C683" s="25" t="inlineStr">
        <is>
          <t>North</t>
        </is>
      </c>
      <c r="D683" s="25" t="inlineStr">
        <is>
          <t>Accessories</t>
        </is>
      </c>
      <c r="E683" s="25" t="inlineStr">
        <is>
          <t>USB-C Hub</t>
        </is>
      </c>
      <c r="F683" s="25" t="n">
        <v>3</v>
      </c>
      <c r="G683" s="25" t="n">
        <v>1800</v>
      </c>
      <c r="H683" s="28" t="n">
        <v>0</v>
      </c>
      <c r="I683" s="25" t="n">
        <v>980</v>
      </c>
    </row>
    <row r="684">
      <c r="A684" s="25" t="inlineStr">
        <is>
          <t>ORD-10421</t>
        </is>
      </c>
      <c r="B684" s="26" t="n">
        <v>45673</v>
      </c>
      <c r="C684" s="25" t="inlineStr">
        <is>
          <t>West</t>
        </is>
      </c>
      <c r="D684" s="25" t="inlineStr">
        <is>
          <t>Office Supplies</t>
        </is>
      </c>
      <c r="E684" s="25" t="inlineStr">
        <is>
          <t>Printer Paper Box</t>
        </is>
      </c>
      <c r="F684" s="25" t="n">
        <v>1</v>
      </c>
      <c r="G684" s="25" t="n">
        <v>1600</v>
      </c>
      <c r="H684" s="28" t="n">
        <v>0.15</v>
      </c>
      <c r="I684" s="25" t="n">
        <v>1050</v>
      </c>
    </row>
    <row r="685">
      <c r="A685" s="25" t="inlineStr">
        <is>
          <t>ORD-10417</t>
        </is>
      </c>
      <c r="B685" s="26" t="n">
        <v>45735</v>
      </c>
      <c r="C685" s="25" t="inlineStr">
        <is>
          <t>South</t>
        </is>
      </c>
      <c r="D685" s="25" t="inlineStr">
        <is>
          <t>Technology</t>
        </is>
      </c>
      <c r="E685" s="25" t="inlineStr">
        <is>
          <t>Wireless Mouse</t>
        </is>
      </c>
      <c r="F685" s="25" t="n">
        <v>2</v>
      </c>
      <c r="G685" s="25" t="n">
        <v>1200</v>
      </c>
      <c r="H685" s="28" t="n">
        <v>0</v>
      </c>
      <c r="I685" s="25" t="n">
        <v>650</v>
      </c>
    </row>
    <row r="686">
      <c r="A686" s="25" t="inlineStr">
        <is>
          <t>ORD-10662</t>
        </is>
      </c>
      <c r="B686" s="26" t="n">
        <v>45987</v>
      </c>
      <c r="C686" s="25" t="inlineStr">
        <is>
          <t>North</t>
        </is>
      </c>
      <c r="D686" s="25" t="inlineStr">
        <is>
          <t>Technology</t>
        </is>
      </c>
      <c r="E686" s="25" t="inlineStr">
        <is>
          <t>Wireless Mouse</t>
        </is>
      </c>
      <c r="F686" s="25" t="n">
        <v>3</v>
      </c>
      <c r="G686" s="25" t="n">
        <v>1200</v>
      </c>
      <c r="H686" s="28" t="n">
        <v>0.15</v>
      </c>
      <c r="I686" s="25" t="n">
        <v>650</v>
      </c>
    </row>
    <row r="687">
      <c r="A687" s="25" t="inlineStr">
        <is>
          <t>ORD-11030</t>
        </is>
      </c>
      <c r="B687" s="26" t="n">
        <v>45902</v>
      </c>
      <c r="C687" s="25" t="inlineStr">
        <is>
          <t>East</t>
        </is>
      </c>
      <c r="D687" s="25" t="inlineStr">
        <is>
          <t>Office Supplies</t>
        </is>
      </c>
      <c r="E687" s="25" t="inlineStr">
        <is>
          <t>Printer Paper Box</t>
        </is>
      </c>
      <c r="F687" s="25" t="n">
        <v>5</v>
      </c>
      <c r="G687" s="25" t="n">
        <v>1600</v>
      </c>
      <c r="H687" s="28" t="n">
        <v>0</v>
      </c>
      <c r="I687" s="25" t="n">
        <v>1050</v>
      </c>
    </row>
    <row r="688">
      <c r="A688" s="25" t="inlineStr">
        <is>
          <t>ORD-11135</t>
        </is>
      </c>
      <c r="B688" s="26" t="n">
        <v>45775</v>
      </c>
      <c r="C688" s="25" t="inlineStr">
        <is>
          <t>West</t>
        </is>
      </c>
      <c r="D688" s="25" t="inlineStr">
        <is>
          <t>Office Supplies</t>
        </is>
      </c>
      <c r="E688" s="25" t="inlineStr">
        <is>
          <t>Notebook Set</t>
        </is>
      </c>
      <c r="F688" s="25" t="n">
        <v>1</v>
      </c>
      <c r="G688" s="25" t="n">
        <v>450</v>
      </c>
      <c r="H688" s="28" t="n">
        <v>0.15</v>
      </c>
      <c r="I688" s="25" t="n">
        <v>190</v>
      </c>
    </row>
    <row r="689">
      <c r="A689" s="25" t="inlineStr">
        <is>
          <t>ORD-10980</t>
        </is>
      </c>
      <c r="B689" s="25" t="inlineStr">
        <is>
          <t>21-Sep-2025</t>
        </is>
      </c>
      <c r="C689" s="25" t="inlineStr">
        <is>
          <t>East</t>
        </is>
      </c>
      <c r="D689" s="25" t="inlineStr">
        <is>
          <t>Accessories</t>
        </is>
      </c>
      <c r="E689" s="25" t="inlineStr">
        <is>
          <t>USB-C Hub</t>
        </is>
      </c>
      <c r="F689" s="25" t="n">
        <v>2</v>
      </c>
      <c r="G689" s="25" t="n">
        <v>1800</v>
      </c>
      <c r="H689" s="28" t="n">
        <v>0</v>
      </c>
      <c r="I689" s="25" t="n">
        <v>980</v>
      </c>
    </row>
    <row r="690">
      <c r="A690" s="25" t="inlineStr">
        <is>
          <t>ORD-10250</t>
        </is>
      </c>
      <c r="B690" s="26" t="n">
        <v>46012</v>
      </c>
      <c r="C690" s="25" t="inlineStr">
        <is>
          <t>West</t>
        </is>
      </c>
      <c r="D690" s="25" t="inlineStr">
        <is>
          <t>Accessories</t>
        </is>
      </c>
      <c r="E690" s="25" t="inlineStr">
        <is>
          <t>Headphones</t>
        </is>
      </c>
      <c r="F690" s="25" t="n">
        <v>3</v>
      </c>
      <c r="G690" s="25" t="n">
        <v>4500</v>
      </c>
      <c r="H690" s="28" t="n">
        <v>0.2</v>
      </c>
      <c r="I690" s="25" t="n">
        <v>2600</v>
      </c>
    </row>
    <row r="691">
      <c r="A691" s="25" t="inlineStr">
        <is>
          <t>ORD-10560</t>
        </is>
      </c>
      <c r="B691" s="26" t="n">
        <v>45764</v>
      </c>
      <c r="C691" s="25" t="inlineStr">
        <is>
          <t>East</t>
        </is>
      </c>
      <c r="D691" s="25" t="inlineStr">
        <is>
          <t>Furniture</t>
        </is>
      </c>
      <c r="E691" s="25" t="inlineStr">
        <is>
          <t>Bookshelf</t>
        </is>
      </c>
      <c r="F691" s="25" t="n">
        <v>3</v>
      </c>
      <c r="G691" s="25" t="n">
        <v>6200</v>
      </c>
      <c r="H691" s="28" t="n">
        <v>0.05</v>
      </c>
      <c r="I691" s="25" t="n">
        <v>4100</v>
      </c>
    </row>
    <row r="692">
      <c r="A692" s="25" t="inlineStr">
        <is>
          <t>ORD-10506</t>
        </is>
      </c>
      <c r="B692" s="26" t="n">
        <v>45752</v>
      </c>
      <c r="C692" s="25" t="inlineStr">
        <is>
          <t>south</t>
        </is>
      </c>
      <c r="D692" s="25" t="inlineStr">
        <is>
          <t>Accessories</t>
        </is>
      </c>
      <c r="E692" s="25" t="inlineStr">
        <is>
          <t>Headphones</t>
        </is>
      </c>
      <c r="F692" s="25" t="n">
        <v>3</v>
      </c>
      <c r="G692" s="25" t="n">
        <v>4500</v>
      </c>
      <c r="H692" s="28" t="n">
        <v>0</v>
      </c>
      <c r="I692" s="25" t="n">
        <v>2600</v>
      </c>
    </row>
    <row r="693">
      <c r="A693" s="25" t="inlineStr">
        <is>
          <t>ORD-10444</t>
        </is>
      </c>
      <c r="B693" s="26" t="n">
        <v>45913</v>
      </c>
      <c r="C693" s="25" t="inlineStr">
        <is>
          <t>West</t>
        </is>
      </c>
      <c r="D693" s="25" t="inlineStr">
        <is>
          <t>Technology</t>
        </is>
      </c>
      <c r="E693" s="25" t="inlineStr">
        <is>
          <t>Wireless Mouse</t>
        </is>
      </c>
      <c r="F693" s="25" t="n">
        <v>3</v>
      </c>
      <c r="G693" s="25" t="n">
        <v>1200</v>
      </c>
      <c r="H693" s="28" t="n">
        <v>0</v>
      </c>
      <c r="I693" s="25" t="n">
        <v>650</v>
      </c>
    </row>
    <row r="694">
      <c r="A694" s="25" t="inlineStr">
        <is>
          <t>ORD-10119</t>
        </is>
      </c>
      <c r="B694" s="26" t="n">
        <v>45802</v>
      </c>
      <c r="C694" s="25" t="inlineStr">
        <is>
          <t>North</t>
        </is>
      </c>
      <c r="D694" s="25" t="inlineStr">
        <is>
          <t>Furniture</t>
        </is>
      </c>
      <c r="E694" s="25" t="inlineStr">
        <is>
          <t>Office Chair</t>
        </is>
      </c>
      <c r="F694" s="25" t="n">
        <v>1</v>
      </c>
      <c r="G694" s="25" t="n">
        <v>8500</v>
      </c>
      <c r="H694" s="28" t="n">
        <v>0.05</v>
      </c>
      <c r="I694" s="25" t="n">
        <v>5600</v>
      </c>
    </row>
    <row r="695">
      <c r="A695" s="25" t="inlineStr">
        <is>
          <t>ORD-10886</t>
        </is>
      </c>
      <c r="B695" s="26" t="n">
        <v>45864</v>
      </c>
      <c r="C695" s="25" t="inlineStr">
        <is>
          <t>North</t>
        </is>
      </c>
      <c r="D695" s="25" t="inlineStr">
        <is>
          <t>Accessories</t>
        </is>
      </c>
      <c r="E695" s="25" t="inlineStr">
        <is>
          <t>USB-C Hub</t>
        </is>
      </c>
      <c r="F695" s="25" t="n">
        <v>1</v>
      </c>
      <c r="G695" s="25" t="n">
        <v>1800</v>
      </c>
      <c r="H695" s="28" t="n">
        <v>0.05</v>
      </c>
      <c r="I695" s="25" t="n">
        <v>980</v>
      </c>
    </row>
    <row r="696">
      <c r="A696" s="25" t="inlineStr">
        <is>
          <t>ORD-10510</t>
        </is>
      </c>
      <c r="B696" s="26" t="n">
        <v>46001</v>
      </c>
      <c r="C696" s="25" t="inlineStr">
        <is>
          <t>South</t>
        </is>
      </c>
      <c r="D696" s="25" t="inlineStr">
        <is>
          <t>Furniture</t>
        </is>
      </c>
      <c r="E696" s="25" t="inlineStr">
        <is>
          <t>Office Chair</t>
        </is>
      </c>
      <c r="F696" s="25" t="n">
        <v>2</v>
      </c>
      <c r="G696" s="25" t="n">
        <v>8500</v>
      </c>
      <c r="H696" s="28" t="n">
        <v>0</v>
      </c>
      <c r="I696" s="25" t="n">
        <v>5600</v>
      </c>
    </row>
    <row r="697">
      <c r="A697" s="25" t="inlineStr">
        <is>
          <t>ORD-11183</t>
        </is>
      </c>
      <c r="B697" s="25" t="inlineStr">
        <is>
          <t>09-Sep-2025</t>
        </is>
      </c>
      <c r="C697" s="25" t="inlineStr">
        <is>
          <t>East</t>
        </is>
      </c>
      <c r="D697" s="25" t="inlineStr">
        <is>
          <t>Furniture</t>
        </is>
      </c>
      <c r="E697" s="25" t="inlineStr">
        <is>
          <t>Office Chair</t>
        </is>
      </c>
      <c r="F697" s="25" t="n">
        <v>2</v>
      </c>
      <c r="G697" s="25" t="n">
        <v>8500</v>
      </c>
      <c r="H697" s="28" t="n">
        <v>0.15</v>
      </c>
      <c r="I697" s="25" t="n">
        <v>5600</v>
      </c>
    </row>
    <row r="698">
      <c r="A698" s="25" t="inlineStr">
        <is>
          <t>ORD-10859</t>
        </is>
      </c>
      <c r="B698" s="26" t="n">
        <v>45668</v>
      </c>
      <c r="C698" s="25" t="inlineStr">
        <is>
          <t>East</t>
        </is>
      </c>
      <c r="D698" s="25" t="inlineStr">
        <is>
          <t>Office Supplies</t>
        </is>
      </c>
      <c r="E698" s="25" t="inlineStr">
        <is>
          <t>Desk Organizer</t>
        </is>
      </c>
      <c r="F698" s="25" t="n">
        <v>3</v>
      </c>
      <c r="G698" s="25" t="n">
        <v>850</v>
      </c>
      <c r="H698" s="28" t="n">
        <v>0</v>
      </c>
      <c r="I698" s="25" t="n">
        <v>420</v>
      </c>
    </row>
    <row r="699">
      <c r="A699" s="25" t="inlineStr">
        <is>
          <t>ORD-10453</t>
        </is>
      </c>
      <c r="B699" s="25" t="inlineStr">
        <is>
          <t>23-Jul-2025</t>
        </is>
      </c>
      <c r="C699" s="25" t="inlineStr">
        <is>
          <t>West</t>
        </is>
      </c>
      <c r="D699" s="25" t="inlineStr">
        <is>
          <t>Accessories</t>
        </is>
      </c>
      <c r="E699" s="25" t="inlineStr">
        <is>
          <t>Webcam</t>
        </is>
      </c>
      <c r="F699" s="25" t="n">
        <v>2</v>
      </c>
      <c r="G699" s="25" t="n">
        <v>3200</v>
      </c>
      <c r="H699" s="28" t="n">
        <v>0</v>
      </c>
      <c r="I699" s="25" t="n">
        <v>1900</v>
      </c>
    </row>
    <row r="700">
      <c r="A700" s="25" t="inlineStr">
        <is>
          <t>ORD-11118</t>
        </is>
      </c>
      <c r="B700" s="26" t="n">
        <v>45951</v>
      </c>
      <c r="C700" s="25" t="inlineStr">
        <is>
          <t>North</t>
        </is>
      </c>
      <c r="D700" s="25" t="inlineStr">
        <is>
          <t>Office Supplies</t>
        </is>
      </c>
      <c r="E700" s="25" t="inlineStr">
        <is>
          <t>Printer Paper Box</t>
        </is>
      </c>
      <c r="F700" s="25" t="n">
        <v>5</v>
      </c>
      <c r="G700" s="25" t="n"/>
      <c r="H700" s="28" t="n">
        <v>0</v>
      </c>
      <c r="I700" s="25" t="n">
        <v>1050</v>
      </c>
    </row>
    <row r="701">
      <c r="A701" s="25" t="inlineStr">
        <is>
          <t>ORD-10441</t>
        </is>
      </c>
      <c r="B701" s="26" t="n">
        <v>45759</v>
      </c>
      <c r="C701" s="25" t="inlineStr">
        <is>
          <t>West</t>
        </is>
      </c>
      <c r="D701" s="25" t="inlineStr">
        <is>
          <t>Office Supplies</t>
        </is>
      </c>
      <c r="E701" s="25" t="inlineStr">
        <is>
          <t>Desk Organizer</t>
        </is>
      </c>
      <c r="F701" s="25" t="n">
        <v>4</v>
      </c>
      <c r="G701" s="25" t="n">
        <v>850</v>
      </c>
      <c r="H701" s="28" t="n">
        <v>0</v>
      </c>
      <c r="I701" s="25" t="n">
        <v>420</v>
      </c>
    </row>
    <row r="702">
      <c r="A702" s="25" t="inlineStr">
        <is>
          <t>ORD-10339</t>
        </is>
      </c>
      <c r="B702" s="26" t="n">
        <v>45699</v>
      </c>
      <c r="C702" s="25" t="inlineStr">
        <is>
          <t>North</t>
        </is>
      </c>
      <c r="D702" s="25" t="inlineStr">
        <is>
          <t>Office Supplies</t>
        </is>
      </c>
      <c r="E702" s="25" t="inlineStr">
        <is>
          <t>Notebook Set</t>
        </is>
      </c>
      <c r="F702" s="25" t="n">
        <v>2</v>
      </c>
      <c r="G702" s="25" t="n">
        <v>450</v>
      </c>
      <c r="H702" s="28" t="n">
        <v>0</v>
      </c>
      <c r="I702" s="25" t="n">
        <v>190</v>
      </c>
    </row>
    <row r="703">
      <c r="A703" s="25" t="inlineStr">
        <is>
          <t>ORD-10127</t>
        </is>
      </c>
      <c r="B703" s="25" t="inlineStr">
        <is>
          <t>15-Nov-2025</t>
        </is>
      </c>
      <c r="C703" s="25" t="inlineStr">
        <is>
          <t>West</t>
        </is>
      </c>
      <c r="D703" s="25" t="inlineStr">
        <is>
          <t>Technology</t>
        </is>
      </c>
      <c r="E703" s="25" t="inlineStr">
        <is>
          <t>Mechanical Keyboard</t>
        </is>
      </c>
      <c r="F703" s="25" t="n">
        <v>3</v>
      </c>
      <c r="G703" s="25" t="n">
        <v>4200</v>
      </c>
      <c r="H703" s="28" t="n">
        <v>0.1</v>
      </c>
      <c r="I703" s="25" t="n">
        <v>2500</v>
      </c>
    </row>
    <row r="704">
      <c r="A704" s="25" t="inlineStr">
        <is>
          <t>ORD-10423</t>
        </is>
      </c>
      <c r="B704" s="26" t="n">
        <v>45719</v>
      </c>
      <c r="C704" s="25" t="inlineStr">
        <is>
          <t>West</t>
        </is>
      </c>
      <c r="D704" s="25" t="inlineStr">
        <is>
          <t>Office Supplies</t>
        </is>
      </c>
      <c r="E704" s="25" t="inlineStr">
        <is>
          <t>Notebook Set</t>
        </is>
      </c>
      <c r="F704" s="25" t="n">
        <v>6</v>
      </c>
      <c r="G704" s="25" t="n">
        <v>450</v>
      </c>
      <c r="H704" s="28" t="n">
        <v>0</v>
      </c>
      <c r="I704" s="25" t="n">
        <v>190</v>
      </c>
    </row>
    <row r="705">
      <c r="A705" s="25" t="inlineStr">
        <is>
          <t>ORD-10509</t>
        </is>
      </c>
      <c r="B705" s="26" t="n">
        <v>45733</v>
      </c>
      <c r="C705" s="25" t="inlineStr">
        <is>
          <t xml:space="preserve"> East</t>
        </is>
      </c>
      <c r="D705" s="25" t="inlineStr">
        <is>
          <t>Office Supplies</t>
        </is>
      </c>
      <c r="E705" s="25" t="inlineStr">
        <is>
          <t>Printer Paper Box</t>
        </is>
      </c>
      <c r="F705" s="25" t="n">
        <v>5</v>
      </c>
      <c r="G705" s="25" t="n">
        <v>1600</v>
      </c>
      <c r="H705" s="28" t="n">
        <v>0.2</v>
      </c>
      <c r="I705" s="25" t="n">
        <v>1050</v>
      </c>
    </row>
    <row r="706">
      <c r="A706" s="25" t="inlineStr">
        <is>
          <t>ORD-10809</t>
        </is>
      </c>
      <c r="B706" s="26" t="n">
        <v>46009</v>
      </c>
      <c r="C706" s="25" t="inlineStr">
        <is>
          <t>South</t>
        </is>
      </c>
      <c r="D706" s="25" t="inlineStr">
        <is>
          <t>Office Supplies</t>
        </is>
      </c>
      <c r="E706" s="25" t="inlineStr">
        <is>
          <t>Printer Paper Box</t>
        </is>
      </c>
      <c r="F706" s="25" t="n">
        <v>4</v>
      </c>
      <c r="G706" s="25" t="n">
        <v>1600</v>
      </c>
      <c r="H706" s="28" t="n">
        <v>0</v>
      </c>
      <c r="I706" s="25" t="n">
        <v>1050</v>
      </c>
    </row>
    <row r="707">
      <c r="A707" s="25" t="inlineStr">
        <is>
          <t>ORD-11017</t>
        </is>
      </c>
      <c r="B707" s="26" t="n">
        <v>45857</v>
      </c>
      <c r="C707" s="25" t="inlineStr">
        <is>
          <t>North</t>
        </is>
      </c>
      <c r="D707" s="25" t="inlineStr">
        <is>
          <t>Accessories</t>
        </is>
      </c>
      <c r="E707" s="25" t="inlineStr">
        <is>
          <t>Headphones</t>
        </is>
      </c>
      <c r="F707" s="25" t="n">
        <v>2</v>
      </c>
      <c r="G707" s="25" t="n">
        <v>4500</v>
      </c>
      <c r="H707" s="28" t="n">
        <v>0.2</v>
      </c>
      <c r="I707" s="25" t="n">
        <v>2600</v>
      </c>
    </row>
    <row r="708">
      <c r="A708" s="25" t="inlineStr">
        <is>
          <t>ORD-10221</t>
        </is>
      </c>
      <c r="B708" s="25" t="inlineStr">
        <is>
          <t>09-Feb-2025</t>
        </is>
      </c>
      <c r="C708" s="25" t="inlineStr">
        <is>
          <t>West</t>
        </is>
      </c>
      <c r="D708" s="25" t="inlineStr">
        <is>
          <t>Accessories</t>
        </is>
      </c>
      <c r="E708" s="25" t="inlineStr">
        <is>
          <t>Headphones</t>
        </is>
      </c>
      <c r="F708" s="25" t="n">
        <v>2</v>
      </c>
      <c r="G708" s="25" t="n">
        <v>4500</v>
      </c>
      <c r="H708" s="28" t="n">
        <v>0</v>
      </c>
      <c r="I708" s="25" t="n">
        <v>2600</v>
      </c>
    </row>
    <row r="709">
      <c r="A709" s="25" t="inlineStr">
        <is>
          <t>ORD-10291</t>
        </is>
      </c>
      <c r="B709" s="26" t="n">
        <v>45862</v>
      </c>
      <c r="C709" s="25" t="inlineStr">
        <is>
          <t>East</t>
        </is>
      </c>
      <c r="D709" s="25" t="inlineStr">
        <is>
          <t>Accessories</t>
        </is>
      </c>
      <c r="E709" s="25" t="inlineStr">
        <is>
          <t>Headphones</t>
        </is>
      </c>
      <c r="F709" s="25" t="n">
        <v>3</v>
      </c>
      <c r="G709" s="25" t="n"/>
      <c r="H709" s="28" t="n">
        <v>0.15</v>
      </c>
      <c r="I709" s="25" t="n">
        <v>2600</v>
      </c>
    </row>
    <row r="710">
      <c r="A710" s="25" t="inlineStr">
        <is>
          <t>ORD-10115</t>
        </is>
      </c>
      <c r="B710" s="26" t="n">
        <v>46005</v>
      </c>
      <c r="C710" s="25" t="inlineStr">
        <is>
          <t>South</t>
        </is>
      </c>
      <c r="D710" s="25" t="inlineStr">
        <is>
          <t>Office Supplies</t>
        </is>
      </c>
      <c r="E710" s="25" t="inlineStr">
        <is>
          <t>Printer Paper Box</t>
        </is>
      </c>
      <c r="F710" s="25" t="n">
        <v>5</v>
      </c>
      <c r="G710" s="25" t="n">
        <v>1600</v>
      </c>
      <c r="H710" s="28" t="n">
        <v>0.1</v>
      </c>
      <c r="I710" s="25" t="n">
        <v>1050</v>
      </c>
    </row>
    <row r="711">
      <c r="A711" s="25" t="inlineStr">
        <is>
          <t>ORD-10854</t>
        </is>
      </c>
      <c r="B711" s="25" t="inlineStr">
        <is>
          <t>16-Sep-2025</t>
        </is>
      </c>
      <c r="C711" s="25" t="inlineStr">
        <is>
          <t>West</t>
        </is>
      </c>
      <c r="D711" s="25" t="inlineStr">
        <is>
          <t>Technology</t>
        </is>
      </c>
      <c r="E711" s="25" t="inlineStr">
        <is>
          <t>Wireless Mouse</t>
        </is>
      </c>
      <c r="F711" s="25" t="n">
        <v>5</v>
      </c>
      <c r="G711" s="25" t="n">
        <v>1200</v>
      </c>
      <c r="H711" s="28" t="n">
        <v>0.1</v>
      </c>
      <c r="I711" s="25" t="n">
        <v>650</v>
      </c>
    </row>
    <row r="712">
      <c r="A712" s="25" t="inlineStr">
        <is>
          <t>ORD-10984</t>
        </is>
      </c>
      <c r="B712" s="26" t="n">
        <v>45733</v>
      </c>
      <c r="C712" s="25" t="inlineStr">
        <is>
          <t>West</t>
        </is>
      </c>
      <c r="D712" s="25" t="inlineStr">
        <is>
          <t>Technology</t>
        </is>
      </c>
      <c r="E712" s="25" t="inlineStr">
        <is>
          <t>Monitor 24"</t>
        </is>
      </c>
      <c r="F712" s="25" t="n">
        <v>2</v>
      </c>
      <c r="G712" s="25" t="n">
        <v>11500</v>
      </c>
      <c r="H712" s="28" t="n">
        <v>0.15</v>
      </c>
      <c r="I712" s="25" t="n">
        <v>8200</v>
      </c>
    </row>
    <row r="713">
      <c r="A713" s="25" t="inlineStr">
        <is>
          <t>ORD-10248</t>
        </is>
      </c>
      <c r="B713" s="26" t="n">
        <v>45847</v>
      </c>
      <c r="C713" s="25" t="inlineStr">
        <is>
          <t>East</t>
        </is>
      </c>
      <c r="D713" s="25" t="inlineStr">
        <is>
          <t>Technology</t>
        </is>
      </c>
      <c r="E713" s="25" t="inlineStr">
        <is>
          <t>Monitor 24"</t>
        </is>
      </c>
      <c r="F713" s="25" t="n">
        <v>2</v>
      </c>
      <c r="G713" s="25" t="n">
        <v>11500</v>
      </c>
      <c r="H713" s="28" t="n">
        <v>0.15</v>
      </c>
      <c r="I713" s="25" t="n">
        <v>8200</v>
      </c>
    </row>
    <row r="714">
      <c r="A714" s="25" t="inlineStr">
        <is>
          <t>ORD-10276</t>
        </is>
      </c>
      <c r="B714" s="26" t="n">
        <v>45875</v>
      </c>
      <c r="C714" s="25" t="inlineStr">
        <is>
          <t>West</t>
        </is>
      </c>
      <c r="D714" s="25" t="inlineStr">
        <is>
          <t>Accessories</t>
        </is>
      </c>
      <c r="E714" s="25" t="inlineStr">
        <is>
          <t>USB-C Hub</t>
        </is>
      </c>
      <c r="F714" s="25" t="n">
        <v>2</v>
      </c>
      <c r="G714" s="25" t="n">
        <v>1800</v>
      </c>
      <c r="H714" s="28" t="n">
        <v>0</v>
      </c>
      <c r="I714" s="25" t="n">
        <v>980</v>
      </c>
    </row>
    <row r="715">
      <c r="A715" s="25" t="inlineStr">
        <is>
          <t>ORD-10310</t>
        </is>
      </c>
      <c r="B715" s="25" t="inlineStr">
        <is>
          <t>08-Nov-2025</t>
        </is>
      </c>
      <c r="C715" s="25" t="inlineStr">
        <is>
          <t>West</t>
        </is>
      </c>
      <c r="D715" s="25" t="inlineStr">
        <is>
          <t>Office Supplies</t>
        </is>
      </c>
      <c r="E715" s="25" t="inlineStr">
        <is>
          <t>Desk Organizer</t>
        </is>
      </c>
      <c r="F715" s="25" t="n">
        <v>5</v>
      </c>
      <c r="G715" s="25" t="n">
        <v>850</v>
      </c>
      <c r="H715" s="28" t="n">
        <v>0</v>
      </c>
      <c r="I715" s="25" t="n">
        <v>420</v>
      </c>
    </row>
    <row r="716">
      <c r="A716" s="25" t="inlineStr">
        <is>
          <t>ORD-10028</t>
        </is>
      </c>
      <c r="B716" s="25" t="inlineStr">
        <is>
          <t>02-Sep-2025</t>
        </is>
      </c>
      <c r="C716" s="25" t="inlineStr">
        <is>
          <t>East</t>
        </is>
      </c>
      <c r="D716" s="25" t="inlineStr">
        <is>
          <t>Accessories</t>
        </is>
      </c>
      <c r="E716" s="25" t="inlineStr">
        <is>
          <t>Webcam</t>
        </is>
      </c>
      <c r="F716" s="25" t="n">
        <v>1</v>
      </c>
      <c r="G716" s="25" t="n">
        <v>3200</v>
      </c>
      <c r="H716" s="28" t="n">
        <v>0</v>
      </c>
      <c r="I716" s="25" t="n">
        <v>1900</v>
      </c>
    </row>
    <row r="717">
      <c r="A717" s="25" t="inlineStr">
        <is>
          <t>ORD-10451</t>
        </is>
      </c>
      <c r="B717" s="26" t="n">
        <v>45748</v>
      </c>
      <c r="C717" s="25" t="inlineStr">
        <is>
          <t>South</t>
        </is>
      </c>
      <c r="D717" s="25" t="inlineStr">
        <is>
          <t>Furniture</t>
        </is>
      </c>
      <c r="E717" s="25" t="inlineStr">
        <is>
          <t>Office Chair</t>
        </is>
      </c>
      <c r="F717" s="25" t="n">
        <v>1</v>
      </c>
      <c r="G717" s="25" t="n">
        <v>8500</v>
      </c>
      <c r="H717" s="28" t="n">
        <v>0.2</v>
      </c>
      <c r="I717" s="25" t="n">
        <v>5600</v>
      </c>
    </row>
    <row r="718">
      <c r="A718" s="25" t="inlineStr">
        <is>
          <t>ORD-10580</t>
        </is>
      </c>
      <c r="B718" s="26" t="n">
        <v>45983</v>
      </c>
      <c r="C718" s="25" t="inlineStr">
        <is>
          <t>north</t>
        </is>
      </c>
      <c r="D718" s="25" t="inlineStr">
        <is>
          <t>Furniture</t>
        </is>
      </c>
      <c r="E718" s="25" t="inlineStr">
        <is>
          <t>Office Chair</t>
        </is>
      </c>
      <c r="F718" s="25" t="n">
        <v>1</v>
      </c>
      <c r="G718" s="25" t="n">
        <v>8500</v>
      </c>
      <c r="H718" s="28" t="n">
        <v>0.1</v>
      </c>
      <c r="I718" s="25" t="n">
        <v>5600</v>
      </c>
    </row>
    <row r="719">
      <c r="A719" s="25" t="inlineStr">
        <is>
          <t>ORD-10160</t>
        </is>
      </c>
      <c r="B719" s="25" t="inlineStr">
        <is>
          <t>25-Mar-2025</t>
        </is>
      </c>
      <c r="C719" s="25" t="inlineStr">
        <is>
          <t>West</t>
        </is>
      </c>
      <c r="D719" s="25" t="inlineStr">
        <is>
          <t>Technology</t>
        </is>
      </c>
      <c r="E719" s="25" t="inlineStr">
        <is>
          <t>Wireless Mouse</t>
        </is>
      </c>
      <c r="F719" s="25" t="n">
        <v>3</v>
      </c>
      <c r="G719" s="25" t="n">
        <v>1200</v>
      </c>
      <c r="H719" s="28" t="n">
        <v>0</v>
      </c>
      <c r="I719" s="25" t="n">
        <v>650</v>
      </c>
    </row>
    <row r="720">
      <c r="A720" s="25" t="inlineStr">
        <is>
          <t>ORD-10850</t>
        </is>
      </c>
      <c r="B720" s="26" t="n">
        <v>46017</v>
      </c>
      <c r="C720" s="25" t="inlineStr">
        <is>
          <t>West</t>
        </is>
      </c>
      <c r="D720" s="25" t="inlineStr">
        <is>
          <t>Office Supplies</t>
        </is>
      </c>
      <c r="E720" s="25" t="inlineStr">
        <is>
          <t>Printer Paper Box</t>
        </is>
      </c>
      <c r="F720" s="25" t="n">
        <v>4</v>
      </c>
      <c r="G720" s="25" t="n">
        <v>1600</v>
      </c>
      <c r="H720" s="28" t="n">
        <v>0.1</v>
      </c>
      <c r="I720" s="25" t="n">
        <v>1050</v>
      </c>
    </row>
    <row r="721">
      <c r="A721" s="25" t="inlineStr">
        <is>
          <t>ORD-10262</t>
        </is>
      </c>
      <c r="B721" s="26" t="n">
        <v>45997</v>
      </c>
      <c r="C721" s="25" t="inlineStr">
        <is>
          <t>West</t>
        </is>
      </c>
      <c r="D721" s="25" t="inlineStr">
        <is>
          <t>Accessories</t>
        </is>
      </c>
      <c r="E721" s="25" t="inlineStr">
        <is>
          <t>USB-C Hub</t>
        </is>
      </c>
      <c r="F721" s="25" t="n">
        <v>1</v>
      </c>
      <c r="G721" s="25" t="n">
        <v>1800</v>
      </c>
      <c r="H721" s="28" t="n">
        <v>0.2</v>
      </c>
      <c r="I721" s="25" t="n">
        <v>980</v>
      </c>
    </row>
    <row r="722">
      <c r="A722" s="25" t="inlineStr">
        <is>
          <t>ORD-10443</t>
        </is>
      </c>
      <c r="B722" s="26" t="n">
        <v>45987</v>
      </c>
      <c r="C722" s="25" t="inlineStr">
        <is>
          <t>East</t>
        </is>
      </c>
      <c r="D722" s="25" t="inlineStr">
        <is>
          <t>Technology</t>
        </is>
      </c>
      <c r="E722" s="25" t="inlineStr">
        <is>
          <t>Wireless Mouse</t>
        </is>
      </c>
      <c r="F722" s="25" t="n">
        <v>1</v>
      </c>
      <c r="G722" s="25" t="n">
        <v>1200</v>
      </c>
      <c r="H722" s="28" t="n">
        <v>0</v>
      </c>
      <c r="I722" s="25" t="n">
        <v>650</v>
      </c>
    </row>
    <row r="723">
      <c r="A723" s="25" t="inlineStr">
        <is>
          <t>ORD-11023</t>
        </is>
      </c>
      <c r="B723" s="26" t="n">
        <v>45983</v>
      </c>
      <c r="C723" s="25" t="inlineStr">
        <is>
          <t>South</t>
        </is>
      </c>
      <c r="D723" s="25" t="inlineStr">
        <is>
          <t>Office Supplies</t>
        </is>
      </c>
      <c r="E723" s="25" t="inlineStr">
        <is>
          <t>Desk Organizer</t>
        </is>
      </c>
      <c r="F723" s="25" t="n">
        <v>3</v>
      </c>
      <c r="G723" s="25" t="n">
        <v>850</v>
      </c>
      <c r="H723" s="28" t="n">
        <v>0</v>
      </c>
      <c r="I723" s="25" t="n">
        <v>420</v>
      </c>
    </row>
    <row r="724">
      <c r="A724" s="25" t="inlineStr">
        <is>
          <t>ORD-10449</t>
        </is>
      </c>
      <c r="B724" s="26" t="n">
        <v>45796</v>
      </c>
      <c r="C724" s="25" t="inlineStr">
        <is>
          <t>South</t>
        </is>
      </c>
      <c r="D724" s="25" t="inlineStr">
        <is>
          <t>Accessories</t>
        </is>
      </c>
      <c r="E724" s="25" t="inlineStr">
        <is>
          <t>Webcam</t>
        </is>
      </c>
      <c r="F724" s="25" t="n">
        <v>1</v>
      </c>
      <c r="G724" s="25" t="n"/>
      <c r="H724" s="28" t="n">
        <v>0.1</v>
      </c>
      <c r="I724" s="25" t="n">
        <v>1900</v>
      </c>
    </row>
    <row r="725">
      <c r="A725" s="25" t="inlineStr">
        <is>
          <t>ORD-10964</t>
        </is>
      </c>
      <c r="B725" s="26" t="n">
        <v>45911</v>
      </c>
      <c r="C725" s="25" t="inlineStr">
        <is>
          <t>East</t>
        </is>
      </c>
      <c r="D725" s="25" t="inlineStr">
        <is>
          <t>Office Supplies</t>
        </is>
      </c>
      <c r="E725" s="25" t="inlineStr">
        <is>
          <t>Notebook Set</t>
        </is>
      </c>
      <c r="F725" s="25" t="n">
        <v>6</v>
      </c>
      <c r="G725" s="25" t="n">
        <v>450</v>
      </c>
      <c r="H725" s="28" t="n">
        <v>0.05</v>
      </c>
      <c r="I725" s="25" t="n">
        <v>190</v>
      </c>
    </row>
    <row r="726">
      <c r="A726" s="25" t="inlineStr">
        <is>
          <t>ORD-11084</t>
        </is>
      </c>
      <c r="B726" s="25" t="inlineStr">
        <is>
          <t>17-Sep-2025</t>
        </is>
      </c>
      <c r="C726" s="25" t="inlineStr">
        <is>
          <t>South</t>
        </is>
      </c>
      <c r="D726" s="25" t="inlineStr">
        <is>
          <t>Furniture</t>
        </is>
      </c>
      <c r="E726" s="25" t="inlineStr">
        <is>
          <t>Bookshelf</t>
        </is>
      </c>
      <c r="F726" s="25" t="n">
        <v>1</v>
      </c>
      <c r="G726" s="25" t="n">
        <v>6200</v>
      </c>
      <c r="H726" s="28" t="n">
        <v>0</v>
      </c>
      <c r="I726" s="25" t="n">
        <v>4100</v>
      </c>
    </row>
    <row r="727">
      <c r="A727" s="25" t="inlineStr">
        <is>
          <t>ORD-10976</t>
        </is>
      </c>
      <c r="B727" s="25" t="inlineStr">
        <is>
          <t>21-Feb-2025</t>
        </is>
      </c>
      <c r="C727" s="25" t="inlineStr">
        <is>
          <t>South</t>
        </is>
      </c>
      <c r="D727" s="25" t="inlineStr">
        <is>
          <t>Technology</t>
        </is>
      </c>
      <c r="E727" s="25" t="inlineStr">
        <is>
          <t>Wireless Mouse</t>
        </is>
      </c>
      <c r="F727" s="25" t="n">
        <v>4</v>
      </c>
      <c r="G727" s="25" t="n">
        <v>1200</v>
      </c>
      <c r="H727" s="28" t="n">
        <v>0.15</v>
      </c>
      <c r="I727" s="25" t="n">
        <v>650</v>
      </c>
    </row>
    <row r="728">
      <c r="A728" s="25" t="inlineStr">
        <is>
          <t>ORD-10593</t>
        </is>
      </c>
      <c r="B728" s="26" t="n">
        <v>45693</v>
      </c>
      <c r="C728" s="25" t="inlineStr">
        <is>
          <t>South</t>
        </is>
      </c>
      <c r="D728" s="25" t="inlineStr">
        <is>
          <t>Accessories</t>
        </is>
      </c>
      <c r="E728" s="25" t="inlineStr">
        <is>
          <t>Headphones</t>
        </is>
      </c>
      <c r="F728" s="25" t="n">
        <v>3</v>
      </c>
      <c r="G728" s="25" t="n">
        <v>4500</v>
      </c>
      <c r="H728" s="28" t="n">
        <v>0</v>
      </c>
      <c r="I728" s="25" t="n">
        <v>2600</v>
      </c>
    </row>
    <row r="729">
      <c r="A729" s="25" t="inlineStr">
        <is>
          <t>ORD-10318</t>
        </is>
      </c>
      <c r="B729" s="26" t="n">
        <v>45702</v>
      </c>
      <c r="C729" s="25" t="inlineStr">
        <is>
          <t>West</t>
        </is>
      </c>
      <c r="D729" s="25" t="inlineStr">
        <is>
          <t>Office Supplies</t>
        </is>
      </c>
      <c r="E729" s="25" t="inlineStr">
        <is>
          <t>Notebook Set</t>
        </is>
      </c>
      <c r="F729" s="25" t="n">
        <v>2</v>
      </c>
      <c r="G729" s="25" t="n">
        <v>450</v>
      </c>
      <c r="H729" s="28" t="n">
        <v>0</v>
      </c>
      <c r="I729" s="25" t="n">
        <v>190</v>
      </c>
    </row>
    <row r="730">
      <c r="A730" s="25" t="inlineStr">
        <is>
          <t>ORD-10415</t>
        </is>
      </c>
      <c r="B730" s="25" t="inlineStr">
        <is>
          <t>08-Oct-2025</t>
        </is>
      </c>
      <c r="C730" s="25" t="inlineStr">
        <is>
          <t>North</t>
        </is>
      </c>
      <c r="D730" s="25" t="inlineStr">
        <is>
          <t>Office Supplies</t>
        </is>
      </c>
      <c r="E730" s="25" t="inlineStr">
        <is>
          <t>Notebook Set</t>
        </is>
      </c>
      <c r="F730" s="25" t="n">
        <v>7</v>
      </c>
      <c r="G730" s="25" t="n">
        <v>450</v>
      </c>
      <c r="H730" s="28" t="n">
        <v>0.2</v>
      </c>
      <c r="I730" s="25" t="n">
        <v>190</v>
      </c>
    </row>
    <row r="731">
      <c r="A731" s="25" t="inlineStr">
        <is>
          <t>ORD-10218</t>
        </is>
      </c>
      <c r="B731" s="26" t="n">
        <v>45710</v>
      </c>
      <c r="C731" s="25" t="inlineStr">
        <is>
          <t>South</t>
        </is>
      </c>
      <c r="D731" s="25" t="inlineStr">
        <is>
          <t>Office Supplies</t>
        </is>
      </c>
      <c r="E731" s="25" t="inlineStr">
        <is>
          <t>Desk Organizer</t>
        </is>
      </c>
      <c r="F731" s="25" t="n">
        <v>1</v>
      </c>
      <c r="G731" s="25" t="n">
        <v>850</v>
      </c>
      <c r="H731" s="28" t="n">
        <v>0</v>
      </c>
      <c r="I731" s="25" t="n">
        <v>420</v>
      </c>
    </row>
    <row r="732">
      <c r="A732" s="25" t="inlineStr">
        <is>
          <t>ORD-11106</t>
        </is>
      </c>
      <c r="B732" s="26" t="n">
        <v>45949</v>
      </c>
      <c r="C732" s="25" t="inlineStr">
        <is>
          <t>South</t>
        </is>
      </c>
      <c r="D732" s="25" t="inlineStr">
        <is>
          <t>Accessories</t>
        </is>
      </c>
      <c r="E732" s="25" t="inlineStr">
        <is>
          <t>USB-C Hub</t>
        </is>
      </c>
      <c r="F732" s="25" t="n">
        <v>1</v>
      </c>
      <c r="G732" s="25" t="n">
        <v>1800</v>
      </c>
      <c r="H732" s="28" t="n">
        <v>0</v>
      </c>
      <c r="I732" s="25" t="n">
        <v>980</v>
      </c>
    </row>
    <row r="733">
      <c r="A733" s="25" t="inlineStr">
        <is>
          <t>ORD-10996</t>
        </is>
      </c>
      <c r="B733" s="26" t="n">
        <v>45984</v>
      </c>
      <c r="C733" s="25" t="inlineStr">
        <is>
          <t>WEST</t>
        </is>
      </c>
      <c r="D733" s="25" t="inlineStr">
        <is>
          <t>Technology</t>
        </is>
      </c>
      <c r="E733" s="25" t="inlineStr">
        <is>
          <t>Wireless Mouse</t>
        </is>
      </c>
      <c r="F733" s="25" t="n">
        <v>2</v>
      </c>
      <c r="G733" s="25" t="n">
        <v>1200</v>
      </c>
      <c r="H733" s="28" t="n">
        <v>0.15</v>
      </c>
      <c r="I733" s="25" t="n">
        <v>650</v>
      </c>
    </row>
    <row r="734">
      <c r="A734" s="25" t="inlineStr">
        <is>
          <t>ORD-10165</t>
        </is>
      </c>
      <c r="B734" s="26" t="n">
        <v>45835</v>
      </c>
      <c r="C734" s="25" t="inlineStr">
        <is>
          <t>South</t>
        </is>
      </c>
      <c r="D734" s="25" t="inlineStr">
        <is>
          <t>Technology</t>
        </is>
      </c>
      <c r="E734" s="25" t="inlineStr">
        <is>
          <t>Wireless Mouse</t>
        </is>
      </c>
      <c r="F734" s="25" t="n">
        <v>4</v>
      </c>
      <c r="G734" s="25" t="n">
        <v>1200</v>
      </c>
      <c r="H734" s="28" t="n">
        <v>0</v>
      </c>
      <c r="I734" s="25" t="n">
        <v>650</v>
      </c>
    </row>
    <row r="735">
      <c r="A735" s="25" t="inlineStr">
        <is>
          <t>ORD-10571</t>
        </is>
      </c>
      <c r="B735" s="26" t="n">
        <v>45976</v>
      </c>
      <c r="C735" s="25" t="inlineStr">
        <is>
          <t>South</t>
        </is>
      </c>
      <c r="D735" s="25" t="inlineStr">
        <is>
          <t>Technology</t>
        </is>
      </c>
      <c r="E735" s="25" t="inlineStr">
        <is>
          <t>Monitor 24"</t>
        </is>
      </c>
      <c r="F735" s="25" t="n">
        <v>1</v>
      </c>
      <c r="G735" s="25" t="n">
        <v>11500</v>
      </c>
      <c r="H735" s="28" t="n">
        <v>0.15</v>
      </c>
      <c r="I735" s="25" t="n">
        <v>8200</v>
      </c>
    </row>
    <row r="736">
      <c r="A736" s="25" t="inlineStr">
        <is>
          <t>ORD-10783</t>
        </is>
      </c>
      <c r="B736" s="26" t="n">
        <v>45978</v>
      </c>
      <c r="C736" s="25" t="inlineStr">
        <is>
          <t>East</t>
        </is>
      </c>
      <c r="D736" s="25" t="inlineStr">
        <is>
          <t>Office Supplies</t>
        </is>
      </c>
      <c r="E736" s="25" t="inlineStr">
        <is>
          <t>Notebook Set</t>
        </is>
      </c>
      <c r="F736" s="25" t="n">
        <v>7</v>
      </c>
      <c r="G736" s="25" t="n">
        <v>450</v>
      </c>
      <c r="H736" s="28" t="n">
        <v>0.15</v>
      </c>
      <c r="I736" s="25" t="n">
        <v>190</v>
      </c>
    </row>
    <row r="737">
      <c r="A737" s="25" t="inlineStr">
        <is>
          <t>ORD-10928</t>
        </is>
      </c>
      <c r="B737" s="25" t="inlineStr">
        <is>
          <t>14-Dec-2025</t>
        </is>
      </c>
      <c r="C737" s="25" t="inlineStr">
        <is>
          <t>North</t>
        </is>
      </c>
      <c r="D737" s="25" t="inlineStr">
        <is>
          <t>Technology</t>
        </is>
      </c>
      <c r="E737" s="25" t="inlineStr">
        <is>
          <t>Wireless Mouse</t>
        </is>
      </c>
      <c r="F737" s="25" t="n">
        <v>5</v>
      </c>
      <c r="G737" s="25" t="n">
        <v>1200</v>
      </c>
      <c r="H737" s="28" t="n">
        <v>0</v>
      </c>
      <c r="I737" s="25" t="n">
        <v>650</v>
      </c>
    </row>
    <row r="738">
      <c r="A738" s="25" t="inlineStr">
        <is>
          <t>ORD-10007</t>
        </is>
      </c>
      <c r="B738" s="25" t="inlineStr">
        <is>
          <t>19-Nov-2025</t>
        </is>
      </c>
      <c r="C738" s="25" t="inlineStr">
        <is>
          <t>West</t>
        </is>
      </c>
      <c r="D738" s="25" t="inlineStr">
        <is>
          <t>Technology</t>
        </is>
      </c>
      <c r="E738" s="25" t="inlineStr">
        <is>
          <t>Wireless Mouse</t>
        </is>
      </c>
      <c r="F738" s="25" t="n">
        <v>3</v>
      </c>
      <c r="G738" s="25" t="n">
        <v>1200</v>
      </c>
      <c r="H738" s="28" t="n">
        <v>0</v>
      </c>
      <c r="I738" s="25" t="n">
        <v>650</v>
      </c>
    </row>
    <row r="739">
      <c r="A739" s="25" t="inlineStr">
        <is>
          <t>ORD-10794</t>
        </is>
      </c>
      <c r="B739" s="25" t="inlineStr">
        <is>
          <t>05-Oct-2025</t>
        </is>
      </c>
      <c r="C739" s="25" t="inlineStr">
        <is>
          <t>West</t>
        </is>
      </c>
      <c r="D739" s="25" t="inlineStr">
        <is>
          <t>Office Supplies</t>
        </is>
      </c>
      <c r="E739" s="25" t="inlineStr">
        <is>
          <t>Notebook Set</t>
        </is>
      </c>
      <c r="F739" s="25" t="n">
        <v>5</v>
      </c>
      <c r="G739" s="25" t="n">
        <v>450</v>
      </c>
      <c r="H739" s="28" t="n">
        <v>0</v>
      </c>
      <c r="I739" s="25" t="n">
        <v>190</v>
      </c>
    </row>
    <row r="740">
      <c r="A740" s="25" t="inlineStr">
        <is>
          <t>ORD-10347</t>
        </is>
      </c>
      <c r="B740" s="26" t="n">
        <v>45876</v>
      </c>
      <c r="C740" s="25" t="inlineStr">
        <is>
          <t>South</t>
        </is>
      </c>
      <c r="D740" s="25" t="inlineStr">
        <is>
          <t>Technology</t>
        </is>
      </c>
      <c r="E740" s="25" t="inlineStr">
        <is>
          <t>Wireless Mouse</t>
        </is>
      </c>
      <c r="F740" s="25" t="n">
        <v>2</v>
      </c>
      <c r="G740" s="25" t="n">
        <v>1200</v>
      </c>
      <c r="H740" s="28" t="n">
        <v>0.05</v>
      </c>
      <c r="I740" s="25" t="n">
        <v>650</v>
      </c>
    </row>
    <row r="741">
      <c r="A741" s="25" t="inlineStr">
        <is>
          <t>ORD-10869</t>
        </is>
      </c>
      <c r="B741" s="26" t="n">
        <v>45849</v>
      </c>
      <c r="C741" s="25" t="inlineStr">
        <is>
          <t>West</t>
        </is>
      </c>
      <c r="D741" s="25" t="inlineStr">
        <is>
          <t>Technology</t>
        </is>
      </c>
      <c r="E741" s="25" t="inlineStr">
        <is>
          <t>Wireless Mouse</t>
        </is>
      </c>
      <c r="F741" s="25" t="n">
        <v>2</v>
      </c>
      <c r="G741" s="25" t="n">
        <v>1200</v>
      </c>
      <c r="H741" s="28" t="n">
        <v>0</v>
      </c>
      <c r="I741" s="25" t="n">
        <v>650</v>
      </c>
    </row>
    <row r="742">
      <c r="A742" s="25" t="inlineStr">
        <is>
          <t>ORD-11025</t>
        </is>
      </c>
      <c r="B742" s="25" t="inlineStr">
        <is>
          <t>22-Aug-2025</t>
        </is>
      </c>
      <c r="C742" s="25" t="inlineStr">
        <is>
          <t>West</t>
        </is>
      </c>
      <c r="D742" s="25" t="inlineStr">
        <is>
          <t>Furniture</t>
        </is>
      </c>
      <c r="E742" s="25" t="inlineStr">
        <is>
          <t>Standing Desk</t>
        </is>
      </c>
      <c r="F742" s="25" t="n">
        <v>2</v>
      </c>
      <c r="G742" s="25" t="n">
        <v>19500</v>
      </c>
      <c r="H742" s="28" t="n">
        <v>0</v>
      </c>
      <c r="I742" s="25" t="n">
        <v>13800</v>
      </c>
    </row>
    <row r="743">
      <c r="A743" s="25" t="inlineStr">
        <is>
          <t>ORD-11166</t>
        </is>
      </c>
      <c r="B743" s="25" t="inlineStr">
        <is>
          <t>26-Apr-2025</t>
        </is>
      </c>
      <c r="C743" s="25" t="inlineStr">
        <is>
          <t>North</t>
        </is>
      </c>
      <c r="D743" s="25" t="inlineStr">
        <is>
          <t>Furniture</t>
        </is>
      </c>
      <c r="E743" s="25" t="inlineStr">
        <is>
          <t>Standing Desk</t>
        </is>
      </c>
      <c r="F743" s="25" t="n">
        <v>1</v>
      </c>
      <c r="G743" s="25" t="n">
        <v>19500</v>
      </c>
      <c r="H743" s="28" t="n">
        <v>0.05</v>
      </c>
      <c r="I743" s="25" t="n">
        <v>13800</v>
      </c>
    </row>
    <row r="744">
      <c r="A744" s="25" t="inlineStr">
        <is>
          <t>ORD-10084</t>
        </is>
      </c>
      <c r="B744" s="26" t="n">
        <v>45805</v>
      </c>
      <c r="C744" s="25" t="inlineStr">
        <is>
          <t>EAST</t>
        </is>
      </c>
      <c r="D744" s="25" t="inlineStr">
        <is>
          <t>Technology</t>
        </is>
      </c>
      <c r="E744" s="25" t="inlineStr">
        <is>
          <t>Wireless Mouse</t>
        </is>
      </c>
      <c r="F744" s="25" t="n">
        <v>1</v>
      </c>
      <c r="G744" s="25" t="n">
        <v>1200</v>
      </c>
      <c r="H744" s="28" t="n">
        <v>0</v>
      </c>
      <c r="I744" s="25" t="n">
        <v>650</v>
      </c>
    </row>
    <row r="745">
      <c r="A745" s="25" t="inlineStr">
        <is>
          <t>ORD-10313</t>
        </is>
      </c>
      <c r="B745" s="26" t="n">
        <v>45914</v>
      </c>
      <c r="C745" s="25" t="inlineStr">
        <is>
          <t>East</t>
        </is>
      </c>
      <c r="D745" s="25" t="inlineStr">
        <is>
          <t>Technology</t>
        </is>
      </c>
      <c r="E745" s="25" t="inlineStr">
        <is>
          <t>Monitor 24"</t>
        </is>
      </c>
      <c r="F745" s="25" t="n">
        <v>1</v>
      </c>
      <c r="G745" s="25" t="n">
        <v>11500</v>
      </c>
      <c r="H745" s="28" t="n">
        <v>0.2</v>
      </c>
      <c r="I745" s="25" t="n">
        <v>8200</v>
      </c>
    </row>
    <row r="746">
      <c r="A746" s="25" t="inlineStr">
        <is>
          <t>ORD-11109</t>
        </is>
      </c>
      <c r="B746" s="26" t="n">
        <v>45976</v>
      </c>
      <c r="C746" s="25" t="inlineStr">
        <is>
          <t>West</t>
        </is>
      </c>
      <c r="D746" s="25" t="inlineStr">
        <is>
          <t>Technology</t>
        </is>
      </c>
      <c r="E746" s="25" t="inlineStr">
        <is>
          <t>Mechanical Keyboard</t>
        </is>
      </c>
      <c r="F746" s="25" t="n">
        <v>2</v>
      </c>
      <c r="G746" s="25" t="n">
        <v>4200</v>
      </c>
      <c r="H746" s="28" t="n">
        <v>0.15</v>
      </c>
      <c r="I746" s="25" t="n">
        <v>2500</v>
      </c>
    </row>
    <row r="747">
      <c r="A747" s="25" t="inlineStr">
        <is>
          <t>ORD-10306</t>
        </is>
      </c>
      <c r="B747" s="26" t="n">
        <v>45683</v>
      </c>
      <c r="C747" s="25" t="inlineStr">
        <is>
          <t xml:space="preserve"> North </t>
        </is>
      </c>
      <c r="D747" s="25" t="inlineStr">
        <is>
          <t>Accessories</t>
        </is>
      </c>
      <c r="E747" s="25" t="inlineStr">
        <is>
          <t>USB-C Hub</t>
        </is>
      </c>
      <c r="F747" s="25" t="n">
        <v>2</v>
      </c>
      <c r="G747" s="25" t="n">
        <v>1800</v>
      </c>
      <c r="H747" s="28" t="n">
        <v>0.1</v>
      </c>
      <c r="I747" s="25" t="n">
        <v>980</v>
      </c>
    </row>
    <row r="748">
      <c r="A748" s="25" t="inlineStr">
        <is>
          <t>ORD-10921</t>
        </is>
      </c>
      <c r="B748" s="25" t="inlineStr">
        <is>
          <t>16-Jun-2025</t>
        </is>
      </c>
      <c r="C748" s="25" t="inlineStr">
        <is>
          <t>North</t>
        </is>
      </c>
      <c r="D748" s="25" t="inlineStr">
        <is>
          <t>Office Supplies</t>
        </is>
      </c>
      <c r="E748" s="25" t="inlineStr">
        <is>
          <t>Notebook Set</t>
        </is>
      </c>
      <c r="F748" s="25" t="n">
        <v>8</v>
      </c>
      <c r="G748" s="25" t="n">
        <v>450</v>
      </c>
      <c r="H748" s="28" t="n">
        <v>0</v>
      </c>
      <c r="I748" s="25" t="n">
        <v>190</v>
      </c>
    </row>
    <row r="749">
      <c r="A749" s="25" t="inlineStr">
        <is>
          <t>ORD-10132</t>
        </is>
      </c>
      <c r="B749" s="26" t="n">
        <v>45733</v>
      </c>
      <c r="C749" s="25" t="inlineStr">
        <is>
          <t>South</t>
        </is>
      </c>
      <c r="D749" s="25" t="inlineStr">
        <is>
          <t>Office Supplies</t>
        </is>
      </c>
      <c r="E749" s="25" t="inlineStr">
        <is>
          <t>Notebook Set</t>
        </is>
      </c>
      <c r="F749" s="25" t="n">
        <v>8</v>
      </c>
      <c r="G749" s="25" t="n">
        <v>450</v>
      </c>
      <c r="H749" s="28" t="n">
        <v>0</v>
      </c>
      <c r="I749" s="25" t="n">
        <v>190</v>
      </c>
    </row>
    <row r="750">
      <c r="A750" s="25" t="inlineStr">
        <is>
          <t>ORD-10679</t>
        </is>
      </c>
      <c r="B750" s="26" t="n">
        <v>45998</v>
      </c>
      <c r="C750" s="25" t="inlineStr">
        <is>
          <t>West</t>
        </is>
      </c>
      <c r="D750" s="25" t="inlineStr">
        <is>
          <t>Office Supplies</t>
        </is>
      </c>
      <c r="E750" s="25" t="inlineStr">
        <is>
          <t>Notebook Set</t>
        </is>
      </c>
      <c r="F750" s="25" t="n">
        <v>8</v>
      </c>
      <c r="G750" s="25" t="n">
        <v>450</v>
      </c>
      <c r="H750" s="28" t="n">
        <v>0.05</v>
      </c>
      <c r="I750" s="25" t="n">
        <v>190</v>
      </c>
    </row>
    <row r="751">
      <c r="A751" s="25" t="inlineStr">
        <is>
          <t>ORD-10559</t>
        </is>
      </c>
      <c r="B751" s="26" t="n">
        <v>45703</v>
      </c>
      <c r="C751" s="25" t="inlineStr">
        <is>
          <t>South</t>
        </is>
      </c>
      <c r="D751" s="25" t="inlineStr">
        <is>
          <t>Accessories</t>
        </is>
      </c>
      <c r="E751" s="25" t="inlineStr">
        <is>
          <t>Webcam</t>
        </is>
      </c>
      <c r="F751" s="25" t="n">
        <v>2</v>
      </c>
      <c r="G751" s="25" t="n">
        <v>3200</v>
      </c>
      <c r="H751" s="28" t="n">
        <v>0</v>
      </c>
      <c r="I751" s="25" t="n">
        <v>1900</v>
      </c>
    </row>
    <row r="752">
      <c r="A752" s="25" t="inlineStr">
        <is>
          <t>ORD-10925</t>
        </is>
      </c>
      <c r="B752" s="26" t="n">
        <v>46017</v>
      </c>
      <c r="C752" s="25" t="inlineStr">
        <is>
          <t>South</t>
        </is>
      </c>
      <c r="D752" s="25" t="inlineStr">
        <is>
          <t>Office Supplies</t>
        </is>
      </c>
      <c r="E752" s="25" t="inlineStr">
        <is>
          <t>Printer Paper Box</t>
        </is>
      </c>
      <c r="F752" s="25" t="n">
        <v>3</v>
      </c>
      <c r="G752" s="25" t="n">
        <v>1600</v>
      </c>
      <c r="H752" s="28" t="n">
        <v>0.05</v>
      </c>
      <c r="I752" s="25" t="n">
        <v>1050</v>
      </c>
    </row>
    <row r="753">
      <c r="A753" s="25" t="inlineStr">
        <is>
          <t>ORD-10610</t>
        </is>
      </c>
      <c r="B753" s="26" t="n">
        <v>45908</v>
      </c>
      <c r="C753" s="25" t="inlineStr">
        <is>
          <t>West</t>
        </is>
      </c>
      <c r="D753" s="25" t="inlineStr">
        <is>
          <t>Technology</t>
        </is>
      </c>
      <c r="E753" s="25" t="inlineStr">
        <is>
          <t>Mechanical Keyboard</t>
        </is>
      </c>
      <c r="F753" s="25" t="n">
        <v>3</v>
      </c>
      <c r="G753" s="25" t="n">
        <v>4200</v>
      </c>
      <c r="H753" s="28" t="n">
        <v>0.1</v>
      </c>
      <c r="I753" s="25" t="n">
        <v>2500</v>
      </c>
    </row>
    <row r="754">
      <c r="A754" s="25" t="inlineStr">
        <is>
          <t>ORD-10029</t>
        </is>
      </c>
      <c r="B754" s="26" t="n">
        <v>45714</v>
      </c>
      <c r="C754" s="25" t="inlineStr">
        <is>
          <t>South</t>
        </is>
      </c>
      <c r="D754" s="25" t="inlineStr">
        <is>
          <t>Technology</t>
        </is>
      </c>
      <c r="E754" s="25" t="inlineStr">
        <is>
          <t>Wireless Mouse</t>
        </is>
      </c>
      <c r="F754" s="25" t="n">
        <v>4</v>
      </c>
      <c r="G754" s="25" t="n">
        <v>1200</v>
      </c>
      <c r="H754" s="28" t="n">
        <v>0</v>
      </c>
      <c r="I754" s="25" t="n">
        <v>650</v>
      </c>
    </row>
    <row r="755">
      <c r="A755" s="25" t="inlineStr">
        <is>
          <t>ORD-11013</t>
        </is>
      </c>
      <c r="B755" s="26" t="n">
        <v>45821</v>
      </c>
      <c r="C755" s="25" t="inlineStr">
        <is>
          <t>South</t>
        </is>
      </c>
      <c r="D755" s="25" t="inlineStr">
        <is>
          <t>Technology</t>
        </is>
      </c>
      <c r="E755" s="25" t="inlineStr">
        <is>
          <t>Mechanical Keyboard</t>
        </is>
      </c>
      <c r="F755" s="25" t="n">
        <v>2</v>
      </c>
      <c r="G755" s="25" t="n">
        <v>4200</v>
      </c>
      <c r="H755" s="28" t="n">
        <v>0.2</v>
      </c>
      <c r="I755" s="25" t="n">
        <v>2500</v>
      </c>
    </row>
    <row r="756">
      <c r="A756" s="25" t="inlineStr">
        <is>
          <t>ORD-11015</t>
        </is>
      </c>
      <c r="B756" s="26" t="n">
        <v>45768</v>
      </c>
      <c r="C756" s="25" t="inlineStr">
        <is>
          <t>North</t>
        </is>
      </c>
      <c r="D756" s="25" t="inlineStr">
        <is>
          <t>Office Supplies</t>
        </is>
      </c>
      <c r="E756" s="25" t="inlineStr">
        <is>
          <t>Printer Paper Box</t>
        </is>
      </c>
      <c r="F756" s="25" t="n">
        <v>2</v>
      </c>
      <c r="G756" s="25" t="n">
        <v>1600</v>
      </c>
      <c r="H756" s="28" t="n">
        <v>0</v>
      </c>
      <c r="I756" s="25" t="n">
        <v>1050</v>
      </c>
    </row>
    <row r="757">
      <c r="A757" s="25" t="inlineStr">
        <is>
          <t>ORD-10632</t>
        </is>
      </c>
      <c r="B757" s="26" t="n">
        <v>45785</v>
      </c>
      <c r="C757" s="25" t="inlineStr">
        <is>
          <t>West</t>
        </is>
      </c>
      <c r="D757" s="25" t="inlineStr">
        <is>
          <t>Office Supplies</t>
        </is>
      </c>
      <c r="E757" s="25" t="inlineStr">
        <is>
          <t>Notebook Set</t>
        </is>
      </c>
      <c r="F757" s="25" t="n">
        <v>4</v>
      </c>
      <c r="G757" s="25" t="n">
        <v>450</v>
      </c>
      <c r="H757" s="28" t="n">
        <v>0.05</v>
      </c>
      <c r="I757" s="25" t="n">
        <v>190</v>
      </c>
    </row>
    <row r="758">
      <c r="A758" s="25" t="inlineStr">
        <is>
          <t>ORD-10474</t>
        </is>
      </c>
      <c r="B758" s="25" t="inlineStr">
        <is>
          <t>20-Mar-2025</t>
        </is>
      </c>
      <c r="C758" s="25" t="inlineStr">
        <is>
          <t>South</t>
        </is>
      </c>
      <c r="D758" s="25" t="inlineStr">
        <is>
          <t>Accessories</t>
        </is>
      </c>
      <c r="E758" s="25" t="inlineStr">
        <is>
          <t>Webcam</t>
        </is>
      </c>
      <c r="F758" s="25" t="n">
        <v>3</v>
      </c>
      <c r="G758" s="25" t="n">
        <v>3200</v>
      </c>
      <c r="H758" s="28" t="n">
        <v>0</v>
      </c>
      <c r="I758" s="25" t="n">
        <v>1900</v>
      </c>
    </row>
    <row r="759">
      <c r="A759" s="25" t="inlineStr">
        <is>
          <t>ORD-10554</t>
        </is>
      </c>
      <c r="B759" s="26" t="n">
        <v>45812</v>
      </c>
      <c r="C759" s="25" t="inlineStr">
        <is>
          <t>South</t>
        </is>
      </c>
      <c r="D759" s="25" t="inlineStr">
        <is>
          <t>Office Supplies</t>
        </is>
      </c>
      <c r="E759" s="25" t="inlineStr">
        <is>
          <t>Desk Organizer</t>
        </is>
      </c>
      <c r="F759" s="25" t="n">
        <v>2</v>
      </c>
      <c r="G759" s="25" t="n">
        <v>850</v>
      </c>
      <c r="H759" s="28" t="n">
        <v>0</v>
      </c>
      <c r="I759" s="25" t="n">
        <v>420</v>
      </c>
    </row>
    <row r="760">
      <c r="A760" s="25" t="inlineStr">
        <is>
          <t>ORD-10766</t>
        </is>
      </c>
      <c r="B760" s="25" t="inlineStr">
        <is>
          <t>19-May-2025</t>
        </is>
      </c>
      <c r="C760" s="25" t="inlineStr">
        <is>
          <t>South</t>
        </is>
      </c>
      <c r="D760" s="25" t="inlineStr">
        <is>
          <t>Office Supplies</t>
        </is>
      </c>
      <c r="E760" s="25" t="inlineStr">
        <is>
          <t>Printer Paper Box</t>
        </is>
      </c>
      <c r="F760" s="25" t="n">
        <v>1</v>
      </c>
      <c r="G760" s="25" t="n">
        <v>1600</v>
      </c>
      <c r="H760" s="28" t="n">
        <v>0</v>
      </c>
      <c r="I760" s="25" t="n">
        <v>1050</v>
      </c>
    </row>
    <row r="761">
      <c r="A761" s="25" t="inlineStr">
        <is>
          <t>ORD-10239</t>
        </is>
      </c>
      <c r="B761" s="26" t="n">
        <v>45706</v>
      </c>
      <c r="C761" s="25" t="inlineStr">
        <is>
          <t>South</t>
        </is>
      </c>
      <c r="D761" s="25" t="inlineStr">
        <is>
          <t>Office Supplies</t>
        </is>
      </c>
      <c r="E761" s="25" t="inlineStr">
        <is>
          <t>Printer Paper Box</t>
        </is>
      </c>
      <c r="F761" s="25" t="n">
        <v>5</v>
      </c>
      <c r="G761" s="25" t="n">
        <v>1600</v>
      </c>
      <c r="H761" s="28" t="n">
        <v>0.15</v>
      </c>
      <c r="I761" s="25" t="n">
        <v>1050</v>
      </c>
    </row>
    <row r="762">
      <c r="A762" s="25" t="inlineStr">
        <is>
          <t>ORD-10816</t>
        </is>
      </c>
      <c r="B762" s="25" t="inlineStr">
        <is>
          <t>17-Nov-2025</t>
        </is>
      </c>
      <c r="C762" s="25" t="inlineStr">
        <is>
          <t>South</t>
        </is>
      </c>
      <c r="D762" s="25" t="inlineStr">
        <is>
          <t>Technology</t>
        </is>
      </c>
      <c r="E762" s="25" t="inlineStr">
        <is>
          <t>Monitor 24"</t>
        </is>
      </c>
      <c r="F762" s="25" t="n">
        <v>1</v>
      </c>
      <c r="G762" s="25" t="n">
        <v>11500</v>
      </c>
      <c r="H762" s="28" t="n">
        <v>0.15</v>
      </c>
      <c r="I762" s="25" t="n">
        <v>8200</v>
      </c>
    </row>
    <row r="763">
      <c r="A763" s="25" t="inlineStr">
        <is>
          <t>ORD-10368</t>
        </is>
      </c>
      <c r="B763" s="25" t="inlineStr">
        <is>
          <t>26-Jun-2025</t>
        </is>
      </c>
      <c r="C763" s="25" t="inlineStr">
        <is>
          <t>South</t>
        </is>
      </c>
      <c r="D763" s="25" t="inlineStr">
        <is>
          <t>Accessories</t>
        </is>
      </c>
      <c r="E763" s="25" t="inlineStr">
        <is>
          <t>Webcam</t>
        </is>
      </c>
      <c r="F763" s="25" t="n">
        <v>2</v>
      </c>
      <c r="G763" s="25" t="n">
        <v>3200</v>
      </c>
      <c r="H763" s="28" t="n">
        <v>0</v>
      </c>
      <c r="I763" s="25" t="n">
        <v>1900</v>
      </c>
    </row>
    <row r="764">
      <c r="A764" s="25" t="inlineStr">
        <is>
          <t>ORD-11003</t>
        </is>
      </c>
      <c r="B764" s="26" t="n">
        <v>45804</v>
      </c>
      <c r="C764" s="25" t="inlineStr">
        <is>
          <t>North</t>
        </is>
      </c>
      <c r="D764" s="25" t="inlineStr">
        <is>
          <t>Office Supplies</t>
        </is>
      </c>
      <c r="E764" s="25" t="inlineStr">
        <is>
          <t>Desk Organizer</t>
        </is>
      </c>
      <c r="F764" s="25" t="n">
        <v>5</v>
      </c>
      <c r="G764" s="25" t="n">
        <v>850</v>
      </c>
      <c r="H764" s="28" t="n">
        <v>0.2</v>
      </c>
      <c r="I764" s="25" t="n">
        <v>420</v>
      </c>
    </row>
    <row r="765">
      <c r="A765" s="25" t="inlineStr">
        <is>
          <t>ORD-10636</t>
        </is>
      </c>
      <c r="B765" s="26" t="n">
        <v>45958</v>
      </c>
      <c r="C765" s="25" t="inlineStr">
        <is>
          <t>North</t>
        </is>
      </c>
      <c r="D765" s="25" t="inlineStr">
        <is>
          <t>Accessories</t>
        </is>
      </c>
      <c r="E765" s="25" t="inlineStr">
        <is>
          <t>Webcam</t>
        </is>
      </c>
      <c r="F765" s="25" t="n">
        <v>3</v>
      </c>
      <c r="G765" s="25" t="n">
        <v>3200</v>
      </c>
      <c r="H765" s="28" t="n">
        <v>0</v>
      </c>
      <c r="I765" s="25" t="n">
        <v>1900</v>
      </c>
    </row>
    <row r="766">
      <c r="A766" s="25" t="inlineStr">
        <is>
          <t>ORD-10597</t>
        </is>
      </c>
      <c r="B766" s="26" t="n">
        <v>45819</v>
      </c>
      <c r="C766" s="25" t="inlineStr">
        <is>
          <t>South</t>
        </is>
      </c>
      <c r="D766" s="25" t="inlineStr">
        <is>
          <t>Office Supplies</t>
        </is>
      </c>
      <c r="E766" s="25" t="inlineStr">
        <is>
          <t>Printer Paper Box</t>
        </is>
      </c>
      <c r="F766" s="25" t="n">
        <v>6</v>
      </c>
      <c r="G766" s="25" t="n">
        <v>1600</v>
      </c>
      <c r="H766" s="28" t="n">
        <v>0.15</v>
      </c>
      <c r="I766" s="25" t="n">
        <v>1050</v>
      </c>
    </row>
    <row r="767">
      <c r="A767" s="25" t="inlineStr">
        <is>
          <t>ORD-11032</t>
        </is>
      </c>
      <c r="B767" s="26" t="n">
        <v>45976</v>
      </c>
      <c r="C767" s="25" t="inlineStr">
        <is>
          <t>West</t>
        </is>
      </c>
      <c r="D767" s="25" t="inlineStr">
        <is>
          <t>Office Supplies</t>
        </is>
      </c>
      <c r="E767" s="25" t="inlineStr">
        <is>
          <t>Notebook Set</t>
        </is>
      </c>
      <c r="F767" s="25" t="n">
        <v>8</v>
      </c>
      <c r="G767" s="25" t="n">
        <v>450</v>
      </c>
      <c r="H767" s="28" t="n">
        <v>0</v>
      </c>
      <c r="I767" s="25" t="n">
        <v>190</v>
      </c>
    </row>
    <row r="768">
      <c r="A768" s="25" t="inlineStr">
        <is>
          <t>ORD-10650</t>
        </is>
      </c>
      <c r="B768" s="26" t="n">
        <v>45920</v>
      </c>
      <c r="C768" s="25" t="inlineStr">
        <is>
          <t>West</t>
        </is>
      </c>
      <c r="D768" s="25" t="inlineStr">
        <is>
          <t>Office Supplies</t>
        </is>
      </c>
      <c r="E768" s="25" t="inlineStr">
        <is>
          <t>Desk Organizer</t>
        </is>
      </c>
      <c r="F768" s="25" t="n">
        <v>5</v>
      </c>
      <c r="G768" s="25" t="n">
        <v>850</v>
      </c>
      <c r="H768" s="28" t="n">
        <v>0.15</v>
      </c>
      <c r="I768" s="25" t="n">
        <v>420</v>
      </c>
    </row>
    <row r="769">
      <c r="A769" s="25" t="inlineStr">
        <is>
          <t>ORD-10077</t>
        </is>
      </c>
      <c r="B769" s="25" t="inlineStr">
        <is>
          <t>03-Mar-2025</t>
        </is>
      </c>
      <c r="C769" s="25" t="inlineStr">
        <is>
          <t>South</t>
        </is>
      </c>
      <c r="D769" s="25" t="inlineStr">
        <is>
          <t>Office Supplies</t>
        </is>
      </c>
      <c r="E769" s="25" t="inlineStr">
        <is>
          <t>Notebook Set</t>
        </is>
      </c>
      <c r="F769" s="25" t="n">
        <v>4</v>
      </c>
      <c r="G769" s="25" t="n">
        <v>450</v>
      </c>
      <c r="H769" s="28" t="n">
        <v>0.1</v>
      </c>
      <c r="I769" s="25" t="n">
        <v>190</v>
      </c>
    </row>
    <row r="770">
      <c r="A770" s="25" t="inlineStr">
        <is>
          <t>ORD-10595</t>
        </is>
      </c>
      <c r="B770" s="25" t="inlineStr">
        <is>
          <t>14-May-2025</t>
        </is>
      </c>
      <c r="C770" s="25" t="inlineStr">
        <is>
          <t>North</t>
        </is>
      </c>
      <c r="D770" s="25" t="inlineStr">
        <is>
          <t>Office Supplies</t>
        </is>
      </c>
      <c r="E770" s="25" t="inlineStr">
        <is>
          <t>Desk Organizer</t>
        </is>
      </c>
      <c r="F770" s="25" t="n">
        <v>5</v>
      </c>
      <c r="G770" s="25" t="n">
        <v>850</v>
      </c>
      <c r="H770" s="28" t="n">
        <v>0.2</v>
      </c>
      <c r="I770" s="25" t="n">
        <v>420</v>
      </c>
    </row>
    <row r="771">
      <c r="A771" s="25" t="inlineStr">
        <is>
          <t>ORD-10680</t>
        </is>
      </c>
      <c r="B771" s="26" t="n">
        <v>45780</v>
      </c>
      <c r="C771" s="25" t="inlineStr">
        <is>
          <t>North</t>
        </is>
      </c>
      <c r="D771" s="25" t="inlineStr">
        <is>
          <t>Office Supplies</t>
        </is>
      </c>
      <c r="E771" s="25" t="inlineStr">
        <is>
          <t>Printer Paper Box</t>
        </is>
      </c>
      <c r="F771" s="25" t="n">
        <v>4</v>
      </c>
      <c r="G771" s="25" t="n">
        <v>1600</v>
      </c>
      <c r="H771" s="28" t="n">
        <v>0.2</v>
      </c>
      <c r="I771" s="25" t="n">
        <v>1050</v>
      </c>
    </row>
    <row r="772">
      <c r="A772" s="25" t="inlineStr">
        <is>
          <t>ORD-11090</t>
        </is>
      </c>
      <c r="B772" s="26" t="n">
        <v>45952</v>
      </c>
      <c r="C772" s="25" t="inlineStr">
        <is>
          <t>West</t>
        </is>
      </c>
      <c r="D772" s="25" t="inlineStr">
        <is>
          <t>Office Supplies</t>
        </is>
      </c>
      <c r="E772" s="25" t="inlineStr">
        <is>
          <t>Notebook Set</t>
        </is>
      </c>
      <c r="F772" s="25" t="n">
        <v>6</v>
      </c>
      <c r="G772" s="25" t="n">
        <v>450</v>
      </c>
      <c r="H772" s="28" t="n">
        <v>0.15</v>
      </c>
      <c r="I772" s="25" t="n">
        <v>190</v>
      </c>
    </row>
    <row r="773">
      <c r="A773" s="25" t="inlineStr">
        <is>
          <t>ORD-10193</t>
        </is>
      </c>
      <c r="B773" s="26" t="n">
        <v>45943</v>
      </c>
      <c r="C773" s="25" t="inlineStr">
        <is>
          <t>East</t>
        </is>
      </c>
      <c r="D773" s="25" t="inlineStr">
        <is>
          <t>Accessories</t>
        </is>
      </c>
      <c r="E773" s="25" t="inlineStr">
        <is>
          <t>USB-C Hub</t>
        </is>
      </c>
      <c r="F773" s="25" t="n">
        <v>4</v>
      </c>
      <c r="G773" s="25" t="n">
        <v>1800</v>
      </c>
      <c r="H773" s="28" t="n">
        <v>0</v>
      </c>
      <c r="I773" s="25" t="n">
        <v>980</v>
      </c>
    </row>
    <row r="774">
      <c r="A774" s="25" t="inlineStr">
        <is>
          <t>ORD-10280</t>
        </is>
      </c>
      <c r="B774" s="26" t="n">
        <v>45966</v>
      </c>
      <c r="C774" s="25" t="inlineStr">
        <is>
          <t>west</t>
        </is>
      </c>
      <c r="D774" s="25" t="inlineStr">
        <is>
          <t>Office Supplies</t>
        </is>
      </c>
      <c r="E774" s="25" t="inlineStr">
        <is>
          <t>Printer Paper Box</t>
        </is>
      </c>
      <c r="F774" s="25" t="n">
        <v>2</v>
      </c>
      <c r="G774" s="25" t="n">
        <v>1600</v>
      </c>
      <c r="H774" s="28" t="n">
        <v>0.15</v>
      </c>
      <c r="I774" s="25" t="n">
        <v>1050</v>
      </c>
    </row>
    <row r="775">
      <c r="A775" s="25" t="inlineStr">
        <is>
          <t>ORD-11127</t>
        </is>
      </c>
      <c r="B775" s="25" t="inlineStr">
        <is>
          <t>05-Oct-2025</t>
        </is>
      </c>
      <c r="C775" s="25" t="inlineStr">
        <is>
          <t>West</t>
        </is>
      </c>
      <c r="D775" s="25" t="inlineStr">
        <is>
          <t>Accessories</t>
        </is>
      </c>
      <c r="E775" s="25" t="inlineStr">
        <is>
          <t>USB-C Hub</t>
        </is>
      </c>
      <c r="F775" s="25" t="n">
        <v>3</v>
      </c>
      <c r="G775" s="25" t="n">
        <v>1800</v>
      </c>
      <c r="H775" s="28" t="n">
        <v>0.1</v>
      </c>
      <c r="I775" s="25" t="n">
        <v>980</v>
      </c>
    </row>
    <row r="776">
      <c r="A776" s="25" t="inlineStr">
        <is>
          <t>ORD-10194</t>
        </is>
      </c>
      <c r="B776" s="26" t="n">
        <v>45799</v>
      </c>
      <c r="C776" s="25" t="inlineStr">
        <is>
          <t>North</t>
        </is>
      </c>
      <c r="D776" s="25" t="inlineStr">
        <is>
          <t>Technology</t>
        </is>
      </c>
      <c r="E776" s="25" t="inlineStr">
        <is>
          <t>Wireless Mouse</t>
        </is>
      </c>
      <c r="F776" s="25" t="n">
        <v>1</v>
      </c>
      <c r="G776" s="25" t="n">
        <v>1200</v>
      </c>
      <c r="H776" s="28" t="n">
        <v>0</v>
      </c>
      <c r="I776" s="25" t="n">
        <v>650</v>
      </c>
    </row>
    <row r="777">
      <c r="A777" s="25" t="inlineStr">
        <is>
          <t>ORD-10653</t>
        </is>
      </c>
      <c r="B777" s="26" t="n">
        <v>45943</v>
      </c>
      <c r="C777" s="25" t="inlineStr">
        <is>
          <t>East</t>
        </is>
      </c>
      <c r="D777" s="25" t="inlineStr">
        <is>
          <t>Accessories</t>
        </is>
      </c>
      <c r="E777" s="25" t="inlineStr">
        <is>
          <t>Webcam</t>
        </is>
      </c>
      <c r="F777" s="25" t="n">
        <v>2</v>
      </c>
      <c r="G777" s="25" t="n">
        <v>3200</v>
      </c>
      <c r="H777" s="28" t="n">
        <v>0</v>
      </c>
      <c r="I777" s="25" t="n">
        <v>1900</v>
      </c>
    </row>
    <row r="778">
      <c r="A778" s="25" t="inlineStr">
        <is>
          <t>ORD-10669</t>
        </is>
      </c>
      <c r="B778" s="26" t="n">
        <v>45771</v>
      </c>
      <c r="C778" s="25" t="inlineStr">
        <is>
          <t>South</t>
        </is>
      </c>
      <c r="D778" s="25" t="inlineStr">
        <is>
          <t>Office Supplies</t>
        </is>
      </c>
      <c r="E778" s="25" t="inlineStr">
        <is>
          <t>Desk Organizer</t>
        </is>
      </c>
      <c r="F778" s="25" t="n">
        <v>4</v>
      </c>
      <c r="G778" s="25" t="n">
        <v>850</v>
      </c>
      <c r="H778" s="28" t="n">
        <v>0</v>
      </c>
      <c r="I778" s="25" t="n">
        <v>420</v>
      </c>
    </row>
    <row r="779">
      <c r="A779" s="25" t="inlineStr">
        <is>
          <t>ORD-10644</t>
        </is>
      </c>
      <c r="B779" s="26" t="n">
        <v>45707</v>
      </c>
      <c r="C779" s="25" t="inlineStr">
        <is>
          <t>West</t>
        </is>
      </c>
      <c r="D779" s="25" t="inlineStr">
        <is>
          <t>Technology</t>
        </is>
      </c>
      <c r="E779" s="25" t="inlineStr">
        <is>
          <t>Monitor 24"</t>
        </is>
      </c>
      <c r="F779" s="25" t="n">
        <v>1</v>
      </c>
      <c r="G779" s="25" t="n">
        <v>11500</v>
      </c>
      <c r="H779" s="28" t="n">
        <v>0.15</v>
      </c>
      <c r="I779" s="25" t="n">
        <v>8200</v>
      </c>
    </row>
    <row r="780">
      <c r="A780" s="25" t="inlineStr">
        <is>
          <t>ORD-10958</t>
        </is>
      </c>
      <c r="B780" s="26" t="n">
        <v>45846</v>
      </c>
      <c r="C780" s="25" t="inlineStr">
        <is>
          <t>West</t>
        </is>
      </c>
      <c r="D780" s="25" t="inlineStr">
        <is>
          <t>Office Supplies</t>
        </is>
      </c>
      <c r="E780" s="25" t="inlineStr">
        <is>
          <t>Desk Organizer</t>
        </is>
      </c>
      <c r="F780" s="25" t="n">
        <v>5</v>
      </c>
      <c r="G780" s="25" t="n">
        <v>850</v>
      </c>
      <c r="H780" s="28" t="n">
        <v>0.2</v>
      </c>
      <c r="I780" s="25" t="n">
        <v>420</v>
      </c>
    </row>
    <row r="781">
      <c r="A781" s="25" t="inlineStr">
        <is>
          <t>ORD-10693</t>
        </is>
      </c>
      <c r="B781" s="26" t="n">
        <v>45911</v>
      </c>
      <c r="C781" s="25" t="inlineStr">
        <is>
          <t>South</t>
        </is>
      </c>
      <c r="D781" s="25" t="inlineStr">
        <is>
          <t>Technology</t>
        </is>
      </c>
      <c r="E781" s="25" t="inlineStr">
        <is>
          <t>Mechanical Keyboard</t>
        </is>
      </c>
      <c r="F781" s="25" t="n">
        <v>2</v>
      </c>
      <c r="G781" s="25" t="n">
        <v>4200</v>
      </c>
      <c r="H781" s="28" t="n">
        <v>0</v>
      </c>
      <c r="I781" s="25" t="n">
        <v>2500</v>
      </c>
    </row>
    <row r="782">
      <c r="A782" s="25" t="inlineStr">
        <is>
          <t>ORD-10893</t>
        </is>
      </c>
      <c r="B782" s="25" t="inlineStr">
        <is>
          <t>10-Oct-2025</t>
        </is>
      </c>
      <c r="C782" s="25" t="inlineStr">
        <is>
          <t>North</t>
        </is>
      </c>
      <c r="D782" s="25" t="inlineStr">
        <is>
          <t>Accessories</t>
        </is>
      </c>
      <c r="E782" s="25" t="inlineStr">
        <is>
          <t>Webcam</t>
        </is>
      </c>
      <c r="F782" s="25" t="n">
        <v>1</v>
      </c>
      <c r="G782" s="25" t="n">
        <v>3200</v>
      </c>
      <c r="H782" s="28" t="n">
        <v>0</v>
      </c>
      <c r="I782" s="25" t="n">
        <v>1900</v>
      </c>
    </row>
    <row r="783">
      <c r="A783" s="25" t="inlineStr">
        <is>
          <t>ORD-10447</t>
        </is>
      </c>
      <c r="B783" s="26" t="n">
        <v>45980</v>
      </c>
      <c r="C783" s="25" t="inlineStr">
        <is>
          <t>East</t>
        </is>
      </c>
      <c r="D783" s="25" t="inlineStr">
        <is>
          <t>Office Supplies</t>
        </is>
      </c>
      <c r="E783" s="25" t="inlineStr">
        <is>
          <t>Notebook Set</t>
        </is>
      </c>
      <c r="F783" s="25" t="n">
        <v>1</v>
      </c>
      <c r="G783" s="25" t="n">
        <v>450</v>
      </c>
      <c r="H783" s="28" t="n">
        <v>0</v>
      </c>
      <c r="I783" s="25" t="n">
        <v>190</v>
      </c>
    </row>
    <row r="784">
      <c r="A784" s="25" t="inlineStr">
        <is>
          <t>ORD-10266</t>
        </is>
      </c>
      <c r="B784" s="26" t="n">
        <v>45980</v>
      </c>
      <c r="C784" s="25" t="inlineStr">
        <is>
          <t>West</t>
        </is>
      </c>
      <c r="D784" s="25" t="inlineStr">
        <is>
          <t>Accessories</t>
        </is>
      </c>
      <c r="E784" s="25" t="inlineStr">
        <is>
          <t>Headphones</t>
        </is>
      </c>
      <c r="F784" s="25" t="n">
        <v>2</v>
      </c>
      <c r="G784" s="25" t="n">
        <v>4500</v>
      </c>
      <c r="H784" s="28" t="n">
        <v>0.05</v>
      </c>
      <c r="I784" s="25" t="n">
        <v>2600</v>
      </c>
    </row>
    <row r="785">
      <c r="A785" s="25" t="inlineStr">
        <is>
          <t>ORD-10246</t>
        </is>
      </c>
      <c r="B785" s="26" t="n">
        <v>45853</v>
      </c>
      <c r="C785" s="25" t="inlineStr">
        <is>
          <t>South</t>
        </is>
      </c>
      <c r="D785" s="25" t="inlineStr">
        <is>
          <t>Office Supplies</t>
        </is>
      </c>
      <c r="E785" s="25" t="inlineStr">
        <is>
          <t>Printer Paper Box</t>
        </is>
      </c>
      <c r="F785" s="25" t="n">
        <v>1</v>
      </c>
      <c r="G785" s="25" t="n">
        <v>1600</v>
      </c>
      <c r="H785" s="28" t="n">
        <v>0</v>
      </c>
      <c r="I785" s="25" t="n">
        <v>1050</v>
      </c>
    </row>
    <row r="786">
      <c r="A786" s="25" t="inlineStr">
        <is>
          <t>ORD-10282</t>
        </is>
      </c>
      <c r="B786" s="26" t="n">
        <v>45729</v>
      </c>
      <c r="C786" s="25" t="inlineStr">
        <is>
          <t xml:space="preserve">South </t>
        </is>
      </c>
      <c r="D786" s="25" t="inlineStr">
        <is>
          <t>Furniture</t>
        </is>
      </c>
      <c r="E786" s="25" t="inlineStr">
        <is>
          <t>Office Chair</t>
        </is>
      </c>
      <c r="F786" s="25" t="n">
        <v>1</v>
      </c>
      <c r="G786" s="25" t="n">
        <v>8500</v>
      </c>
      <c r="H786" s="28" t="n">
        <v>0.05</v>
      </c>
      <c r="I786" s="25" t="n">
        <v>5600</v>
      </c>
    </row>
    <row r="787">
      <c r="A787" s="25" t="inlineStr">
        <is>
          <t>ORD-10062</t>
        </is>
      </c>
      <c r="B787" s="26" t="n">
        <v>45783</v>
      </c>
      <c r="C787" s="25" t="inlineStr">
        <is>
          <t>WEST</t>
        </is>
      </c>
      <c r="D787" s="25" t="inlineStr">
        <is>
          <t>Furniture</t>
        </is>
      </c>
      <c r="E787" s="25" t="inlineStr">
        <is>
          <t>Bookshelf</t>
        </is>
      </c>
      <c r="F787" s="25" t="n">
        <v>2</v>
      </c>
      <c r="G787" s="25" t="n">
        <v>6200</v>
      </c>
      <c r="H787" s="28" t="n">
        <v>0</v>
      </c>
      <c r="I787" s="25" t="n">
        <v>4100</v>
      </c>
    </row>
    <row r="788">
      <c r="A788" s="25" t="inlineStr">
        <is>
          <t>ORD-10111</t>
        </is>
      </c>
      <c r="B788" s="26" t="n">
        <v>45911</v>
      </c>
      <c r="C788" s="25" t="inlineStr">
        <is>
          <t>East</t>
        </is>
      </c>
      <c r="D788" s="25" t="inlineStr">
        <is>
          <t>Office Supplies</t>
        </is>
      </c>
      <c r="E788" s="25" t="inlineStr">
        <is>
          <t>Printer Paper Box</t>
        </is>
      </c>
      <c r="F788" s="25" t="n">
        <v>4</v>
      </c>
      <c r="G788" s="25" t="n">
        <v>1600</v>
      </c>
      <c r="H788" s="28" t="n">
        <v>0.05</v>
      </c>
      <c r="I788" s="25" t="n">
        <v>1050</v>
      </c>
    </row>
    <row r="789">
      <c r="A789" s="25" t="inlineStr">
        <is>
          <t>ORD-10365</t>
        </is>
      </c>
      <c r="B789" s="26" t="n">
        <v>45772</v>
      </c>
      <c r="C789" s="25" t="inlineStr">
        <is>
          <t>East</t>
        </is>
      </c>
      <c r="D789" s="25" t="inlineStr">
        <is>
          <t>Technology</t>
        </is>
      </c>
      <c r="E789" s="25" t="inlineStr">
        <is>
          <t>Wireless Mouse</t>
        </is>
      </c>
      <c r="F789" s="25" t="n">
        <v>5</v>
      </c>
      <c r="G789" s="25" t="n">
        <v>1200</v>
      </c>
      <c r="H789" s="28" t="n">
        <v>0.2</v>
      </c>
      <c r="I789" s="25" t="n">
        <v>650</v>
      </c>
    </row>
    <row r="790">
      <c r="A790" s="25" t="inlineStr">
        <is>
          <t>ORD-11091</t>
        </is>
      </c>
      <c r="B790" s="26" t="n">
        <v>45781</v>
      </c>
      <c r="C790" s="25" t="inlineStr">
        <is>
          <t>South</t>
        </is>
      </c>
      <c r="D790" s="25" t="inlineStr">
        <is>
          <t>Technology</t>
        </is>
      </c>
      <c r="E790" s="25" t="inlineStr">
        <is>
          <t>Wireless Mouse</t>
        </is>
      </c>
      <c r="F790" s="25" t="n">
        <v>4</v>
      </c>
      <c r="G790" s="25" t="n">
        <v>1200</v>
      </c>
      <c r="H790" s="28" t="n">
        <v>0.05</v>
      </c>
      <c r="I790" s="25" t="n">
        <v>650</v>
      </c>
    </row>
    <row r="791">
      <c r="A791" s="25" t="inlineStr">
        <is>
          <t>ORD-10584</t>
        </is>
      </c>
      <c r="B791" s="26" t="n">
        <v>45969</v>
      </c>
      <c r="C791" s="25" t="inlineStr">
        <is>
          <t>North</t>
        </is>
      </c>
      <c r="D791" s="25" t="inlineStr">
        <is>
          <t>Office Supplies</t>
        </is>
      </c>
      <c r="E791" s="25" t="inlineStr">
        <is>
          <t>Notebook Set</t>
        </is>
      </c>
      <c r="F791" s="25" t="n">
        <v>8</v>
      </c>
      <c r="G791" s="25" t="n">
        <v>450</v>
      </c>
      <c r="H791" s="28" t="n">
        <v>0.1</v>
      </c>
      <c r="I791" s="25" t="n">
        <v>190</v>
      </c>
    </row>
    <row r="792">
      <c r="A792" s="25" t="inlineStr">
        <is>
          <t>ORD-10758</t>
        </is>
      </c>
      <c r="B792" s="26" t="n">
        <v>45770</v>
      </c>
      <c r="C792" s="25" t="inlineStr">
        <is>
          <t>North</t>
        </is>
      </c>
      <c r="D792" s="25" t="inlineStr">
        <is>
          <t>Furniture</t>
        </is>
      </c>
      <c r="E792" s="25" t="inlineStr">
        <is>
          <t>Office Chair</t>
        </is>
      </c>
      <c r="F792" s="25" t="n">
        <v>1</v>
      </c>
      <c r="G792" s="25" t="n">
        <v>8500</v>
      </c>
      <c r="H792" s="28" t="n">
        <v>0</v>
      </c>
      <c r="I792" s="25" t="n">
        <v>5600</v>
      </c>
    </row>
    <row r="793">
      <c r="A793" s="25" t="inlineStr">
        <is>
          <t>ORD-10031</t>
        </is>
      </c>
      <c r="B793" s="26" t="n">
        <v>45836</v>
      </c>
      <c r="C793" s="25" t="inlineStr">
        <is>
          <t>East</t>
        </is>
      </c>
      <c r="D793" s="25" t="inlineStr">
        <is>
          <t>Technology</t>
        </is>
      </c>
      <c r="E793" s="25" t="inlineStr">
        <is>
          <t>Mechanical Keyboard</t>
        </is>
      </c>
      <c r="F793" s="25" t="n">
        <v>1</v>
      </c>
      <c r="G793" s="25" t="n">
        <v>4200</v>
      </c>
      <c r="H793" s="28" t="n">
        <v>0</v>
      </c>
      <c r="I793" s="25" t="n">
        <v>2500</v>
      </c>
    </row>
    <row r="794">
      <c r="A794" s="25" t="inlineStr">
        <is>
          <t>ORD-10129</t>
        </is>
      </c>
      <c r="B794" s="26" t="n">
        <v>46009</v>
      </c>
      <c r="C794" s="25" t="inlineStr">
        <is>
          <t>West</t>
        </is>
      </c>
      <c r="D794" s="25" t="inlineStr">
        <is>
          <t>Office Supplies</t>
        </is>
      </c>
      <c r="E794" s="25" t="inlineStr">
        <is>
          <t>Desk Organizer</t>
        </is>
      </c>
      <c r="F794" s="25" t="n">
        <v>4</v>
      </c>
      <c r="G794" s="25" t="n">
        <v>850</v>
      </c>
      <c r="H794" s="28" t="n">
        <v>0</v>
      </c>
      <c r="I794" s="25" t="n">
        <v>420</v>
      </c>
    </row>
    <row r="795">
      <c r="A795" s="25" t="inlineStr">
        <is>
          <t>ORD-11147</t>
        </is>
      </c>
      <c r="B795" s="25" t="inlineStr">
        <is>
          <t>11-Apr-2025</t>
        </is>
      </c>
      <c r="C795" s="25" t="inlineStr">
        <is>
          <t>West</t>
        </is>
      </c>
      <c r="D795" s="25" t="inlineStr">
        <is>
          <t>Office Supplies</t>
        </is>
      </c>
      <c r="E795" s="25" t="inlineStr">
        <is>
          <t>Notebook Set</t>
        </is>
      </c>
      <c r="F795" s="25" t="n">
        <v>2</v>
      </c>
      <c r="G795" s="25" t="n">
        <v>450</v>
      </c>
      <c r="H795" s="28" t="n">
        <v>0.05</v>
      </c>
      <c r="I795" s="25" t="n">
        <v>190</v>
      </c>
    </row>
    <row r="796">
      <c r="A796" s="25" t="inlineStr">
        <is>
          <t>ORD-10147</t>
        </is>
      </c>
      <c r="B796" s="26" t="n">
        <v>45970</v>
      </c>
      <c r="C796" s="25" t="inlineStr">
        <is>
          <t xml:space="preserve"> North </t>
        </is>
      </c>
      <c r="D796" s="25" t="inlineStr">
        <is>
          <t>Technology</t>
        </is>
      </c>
      <c r="E796" s="25" t="inlineStr">
        <is>
          <t>Monitor 24"</t>
        </is>
      </c>
      <c r="F796" s="25" t="n">
        <v>2</v>
      </c>
      <c r="G796" s="25" t="n">
        <v>11500</v>
      </c>
      <c r="H796" s="28" t="n">
        <v>0.1</v>
      </c>
      <c r="I796" s="25" t="n">
        <v>8200</v>
      </c>
    </row>
    <row r="797">
      <c r="A797" s="25" t="inlineStr">
        <is>
          <t>ORD-10125</t>
        </is>
      </c>
      <c r="B797" s="26" t="n">
        <v>46017</v>
      </c>
      <c r="C797" s="25" t="inlineStr">
        <is>
          <t>East</t>
        </is>
      </c>
      <c r="D797" s="25" t="inlineStr">
        <is>
          <t>Accessories</t>
        </is>
      </c>
      <c r="E797" s="25" t="inlineStr">
        <is>
          <t>USB-C Hub</t>
        </is>
      </c>
      <c r="F797" s="25" t="n">
        <v>4</v>
      </c>
      <c r="G797" s="25" t="n">
        <v>1800</v>
      </c>
      <c r="H797" s="28" t="n">
        <v>0</v>
      </c>
      <c r="I797" s="25" t="n">
        <v>980</v>
      </c>
    </row>
    <row r="798">
      <c r="A798" s="25" t="inlineStr">
        <is>
          <t>ORD-10642</t>
        </is>
      </c>
      <c r="B798" s="25" t="inlineStr">
        <is>
          <t>03-Aug-2025</t>
        </is>
      </c>
      <c r="C798" s="25" t="inlineStr">
        <is>
          <t>North</t>
        </is>
      </c>
      <c r="D798" s="25" t="inlineStr">
        <is>
          <t>Furniture</t>
        </is>
      </c>
      <c r="E798" s="25" t="inlineStr">
        <is>
          <t>Office Chair</t>
        </is>
      </c>
      <c r="F798" s="25" t="n">
        <v>2</v>
      </c>
      <c r="G798" s="25" t="n">
        <v>8500</v>
      </c>
      <c r="H798" s="28" t="n">
        <v>0</v>
      </c>
      <c r="I798" s="25" t="n">
        <v>5600</v>
      </c>
    </row>
    <row r="799">
      <c r="A799" s="25" t="inlineStr">
        <is>
          <t>ORD-10448</t>
        </is>
      </c>
      <c r="B799" s="26" t="n">
        <v>45942</v>
      </c>
      <c r="C799" s="25" t="inlineStr">
        <is>
          <t>West</t>
        </is>
      </c>
      <c r="D799" s="25" t="inlineStr">
        <is>
          <t>Technology</t>
        </is>
      </c>
      <c r="E799" s="25" t="inlineStr">
        <is>
          <t>Wireless Mouse</t>
        </is>
      </c>
      <c r="F799" s="25" t="n">
        <v>3</v>
      </c>
      <c r="G799" s="25" t="n">
        <v>1200</v>
      </c>
      <c r="H799" s="28" t="n">
        <v>0.2</v>
      </c>
      <c r="I799" s="25" t="n">
        <v>650</v>
      </c>
    </row>
    <row r="800">
      <c r="A800" s="25" t="inlineStr">
        <is>
          <t>ORD-10155</t>
        </is>
      </c>
      <c r="B800" s="25" t="inlineStr">
        <is>
          <t>07-Nov-2025</t>
        </is>
      </c>
      <c r="C800" s="25" t="inlineStr">
        <is>
          <t>West</t>
        </is>
      </c>
      <c r="D800" s="25" t="inlineStr">
        <is>
          <t>Technology</t>
        </is>
      </c>
      <c r="E800" s="25" t="inlineStr">
        <is>
          <t>Mechanical Keyboard</t>
        </is>
      </c>
      <c r="F800" s="25" t="n">
        <v>2</v>
      </c>
      <c r="G800" s="25" t="n">
        <v>4200</v>
      </c>
      <c r="H800" s="28" t="n">
        <v>0.05</v>
      </c>
      <c r="I800" s="25" t="n">
        <v>2500</v>
      </c>
    </row>
    <row r="801">
      <c r="A801" s="25" t="inlineStr">
        <is>
          <t>ORD-11137</t>
        </is>
      </c>
      <c r="B801" s="25" t="inlineStr">
        <is>
          <t>18-Jul-2025</t>
        </is>
      </c>
      <c r="C801" s="25" t="inlineStr">
        <is>
          <t>SOUTH</t>
        </is>
      </c>
      <c r="D801" s="25" t="inlineStr">
        <is>
          <t>Office Supplies</t>
        </is>
      </c>
      <c r="E801" s="25" t="inlineStr">
        <is>
          <t>Printer Paper Box</t>
        </is>
      </c>
      <c r="F801" s="25" t="n">
        <v>4</v>
      </c>
      <c r="G801" s="25" t="n">
        <v>1600</v>
      </c>
      <c r="H801" s="28" t="n">
        <v>0</v>
      </c>
      <c r="I801" s="25" t="n">
        <v>1050</v>
      </c>
    </row>
    <row r="802">
      <c r="A802" s="25" t="inlineStr">
        <is>
          <t>ORD-10192</t>
        </is>
      </c>
      <c r="B802" s="25" t="inlineStr">
        <is>
          <t>28-Sep-2025</t>
        </is>
      </c>
      <c r="C802" s="25" t="inlineStr">
        <is>
          <t>West</t>
        </is>
      </c>
      <c r="D802" s="25" t="inlineStr">
        <is>
          <t>Accessories</t>
        </is>
      </c>
      <c r="E802" s="25" t="inlineStr">
        <is>
          <t>Webcam</t>
        </is>
      </c>
      <c r="F802" s="25" t="n">
        <v>2</v>
      </c>
      <c r="G802" s="25" t="n">
        <v>3200</v>
      </c>
      <c r="H802" s="28" t="n">
        <v>0</v>
      </c>
      <c r="I802" s="25" t="n">
        <v>1900</v>
      </c>
    </row>
    <row r="803">
      <c r="A803" s="25" t="inlineStr">
        <is>
          <t>ORD-10162</t>
        </is>
      </c>
      <c r="B803" s="26" t="n">
        <v>45952</v>
      </c>
      <c r="C803" s="25" t="inlineStr">
        <is>
          <t>South</t>
        </is>
      </c>
      <c r="D803" s="25" t="inlineStr">
        <is>
          <t>Technology</t>
        </is>
      </c>
      <c r="E803" s="25" t="inlineStr">
        <is>
          <t>Mechanical Keyboard</t>
        </is>
      </c>
      <c r="F803" s="25" t="n">
        <v>2</v>
      </c>
      <c r="G803" s="25" t="n">
        <v>4200</v>
      </c>
      <c r="H803" s="28" t="n">
        <v>0</v>
      </c>
      <c r="I803" s="25" t="n">
        <v>2500</v>
      </c>
    </row>
    <row r="804">
      <c r="A804" s="25" t="inlineStr">
        <is>
          <t>ORD-10761</t>
        </is>
      </c>
      <c r="B804" s="26" t="n">
        <v>45684</v>
      </c>
      <c r="C804" s="25" t="inlineStr">
        <is>
          <t>East</t>
        </is>
      </c>
      <c r="D804" s="25" t="inlineStr">
        <is>
          <t>Accessories</t>
        </is>
      </c>
      <c r="E804" s="25" t="inlineStr">
        <is>
          <t>Headphones</t>
        </is>
      </c>
      <c r="F804" s="25" t="n">
        <v>1</v>
      </c>
      <c r="G804" s="25" t="n">
        <v>4500</v>
      </c>
      <c r="H804" s="28" t="n">
        <v>0.15</v>
      </c>
      <c r="I804" s="25" t="n">
        <v>2600</v>
      </c>
    </row>
    <row r="805">
      <c r="A805" s="25" t="inlineStr">
        <is>
          <t>ORD-10557</t>
        </is>
      </c>
      <c r="B805" s="26" t="n">
        <v>45771</v>
      </c>
      <c r="C805" s="25" t="inlineStr">
        <is>
          <t>East</t>
        </is>
      </c>
      <c r="D805" s="25" t="inlineStr">
        <is>
          <t>Office Supplies</t>
        </is>
      </c>
      <c r="E805" s="25" t="inlineStr">
        <is>
          <t>Notebook Set</t>
        </is>
      </c>
      <c r="F805" s="25" t="n">
        <v>1</v>
      </c>
      <c r="G805" s="25" t="n">
        <v>450</v>
      </c>
      <c r="H805" s="28" t="n">
        <v>0.05</v>
      </c>
      <c r="I805" s="25" t="n">
        <v>190</v>
      </c>
    </row>
    <row r="806">
      <c r="A806" s="25" t="inlineStr">
        <is>
          <t>ORD-10287</t>
        </is>
      </c>
      <c r="B806" s="26" t="n">
        <v>45818</v>
      </c>
      <c r="C806" s="25" t="inlineStr">
        <is>
          <t>North</t>
        </is>
      </c>
      <c r="D806" s="25" t="inlineStr">
        <is>
          <t>Office Supplies</t>
        </is>
      </c>
      <c r="E806" s="25" t="inlineStr">
        <is>
          <t>Printer Paper Box</t>
        </is>
      </c>
      <c r="F806" s="25" t="n">
        <v>6</v>
      </c>
      <c r="G806" s="25" t="n">
        <v>1600</v>
      </c>
      <c r="H806" s="28" t="n">
        <v>0.15</v>
      </c>
      <c r="I806" s="25" t="n">
        <v>1050</v>
      </c>
    </row>
    <row r="807">
      <c r="A807" s="25" t="inlineStr">
        <is>
          <t>ORD-10299</t>
        </is>
      </c>
      <c r="B807" s="25" t="inlineStr">
        <is>
          <t>21-Oct-2025</t>
        </is>
      </c>
      <c r="C807" s="25" t="inlineStr">
        <is>
          <t>North</t>
        </is>
      </c>
      <c r="D807" s="25" t="inlineStr">
        <is>
          <t>Technology</t>
        </is>
      </c>
      <c r="E807" s="25" t="inlineStr">
        <is>
          <t>Wireless Mouse</t>
        </is>
      </c>
      <c r="F807" s="25" t="n">
        <v>5</v>
      </c>
      <c r="G807" s="25" t="n">
        <v>1200</v>
      </c>
      <c r="H807" s="28" t="n">
        <v>0</v>
      </c>
      <c r="I807" s="25" t="n">
        <v>650</v>
      </c>
    </row>
    <row r="808">
      <c r="A808" s="25" t="inlineStr">
        <is>
          <t>ORD-10067</t>
        </is>
      </c>
      <c r="B808" s="26" t="n">
        <v>45735</v>
      </c>
      <c r="C808" s="25" t="inlineStr">
        <is>
          <t>North</t>
        </is>
      </c>
      <c r="D808" s="25" t="inlineStr">
        <is>
          <t>Technology</t>
        </is>
      </c>
      <c r="E808" s="25" t="inlineStr">
        <is>
          <t>Mechanical Keyboard</t>
        </is>
      </c>
      <c r="F808" s="25" t="n">
        <v>2</v>
      </c>
      <c r="G808" s="25" t="n">
        <v>4200</v>
      </c>
      <c r="H808" s="28" t="n">
        <v>0</v>
      </c>
      <c r="I808" s="25" t="n">
        <v>2500</v>
      </c>
    </row>
    <row r="809">
      <c r="A809" s="25" t="inlineStr">
        <is>
          <t>ORD-10544</t>
        </is>
      </c>
      <c r="B809" s="26" t="n">
        <v>45928</v>
      </c>
      <c r="C809" s="25" t="inlineStr">
        <is>
          <t>north</t>
        </is>
      </c>
      <c r="D809" s="25" t="inlineStr">
        <is>
          <t>Technology</t>
        </is>
      </c>
      <c r="E809" s="25" t="inlineStr">
        <is>
          <t>Wireless Mouse</t>
        </is>
      </c>
      <c r="F809" s="25" t="n">
        <v>3</v>
      </c>
      <c r="G809" s="25" t="n">
        <v>1200</v>
      </c>
      <c r="H809" s="28" t="n">
        <v>0</v>
      </c>
      <c r="I809" s="25" t="n">
        <v>650</v>
      </c>
    </row>
    <row r="810">
      <c r="A810" s="25" t="inlineStr">
        <is>
          <t>ORD-10347</t>
        </is>
      </c>
      <c r="B810" s="26" t="n">
        <v>45876</v>
      </c>
      <c r="C810" s="25" t="inlineStr">
        <is>
          <t>South</t>
        </is>
      </c>
      <c r="D810" s="25" t="inlineStr">
        <is>
          <t>Technology</t>
        </is>
      </c>
      <c r="E810" s="25" t="inlineStr">
        <is>
          <t>Wireless Mouse</t>
        </is>
      </c>
      <c r="F810" s="25" t="n">
        <v>2</v>
      </c>
      <c r="G810" s="25" t="n">
        <v>1200</v>
      </c>
      <c r="H810" s="28" t="n">
        <v>0.05</v>
      </c>
      <c r="I810" s="25" t="n">
        <v>650</v>
      </c>
    </row>
    <row r="811">
      <c r="A811" s="25" t="inlineStr">
        <is>
          <t>ORD-10091</t>
        </is>
      </c>
      <c r="B811" s="25" t="inlineStr">
        <is>
          <t>26-May-2025</t>
        </is>
      </c>
      <c r="C811" s="25" t="inlineStr">
        <is>
          <t>North</t>
        </is>
      </c>
      <c r="D811" s="25" t="inlineStr">
        <is>
          <t>Furniture</t>
        </is>
      </c>
      <c r="E811" s="25" t="inlineStr">
        <is>
          <t>Bookshelf</t>
        </is>
      </c>
      <c r="F811" s="25" t="n">
        <v>1</v>
      </c>
      <c r="G811" s="25" t="n">
        <v>6200</v>
      </c>
      <c r="H811" s="28" t="n">
        <v>0.1</v>
      </c>
      <c r="I811" s="25" t="n">
        <v>4100</v>
      </c>
    </row>
    <row r="812">
      <c r="A812" s="25" t="inlineStr">
        <is>
          <t>ORD-10022</t>
        </is>
      </c>
      <c r="B812" s="26" t="n">
        <v>45683</v>
      </c>
      <c r="C812" s="25" t="inlineStr">
        <is>
          <t>South</t>
        </is>
      </c>
      <c r="D812" s="25" t="inlineStr">
        <is>
          <t>Accessories</t>
        </is>
      </c>
      <c r="E812" s="25" t="inlineStr">
        <is>
          <t>Webcam</t>
        </is>
      </c>
      <c r="F812" s="25" t="n">
        <v>2</v>
      </c>
      <c r="G812" s="25" t="n">
        <v>3200</v>
      </c>
      <c r="H812" s="28" t="n">
        <v>0.15</v>
      </c>
      <c r="I812" s="25" t="n">
        <v>1900</v>
      </c>
    </row>
    <row r="813">
      <c r="A813" s="25" t="inlineStr">
        <is>
          <t>ORD-10889</t>
        </is>
      </c>
      <c r="B813" s="25" t="inlineStr">
        <is>
          <t>03-Oct-2025</t>
        </is>
      </c>
      <c r="C813" s="25" t="inlineStr">
        <is>
          <t>East</t>
        </is>
      </c>
      <c r="D813" s="25" t="inlineStr">
        <is>
          <t>Office Supplies</t>
        </is>
      </c>
      <c r="E813" s="25" t="inlineStr">
        <is>
          <t>Notebook Set</t>
        </is>
      </c>
      <c r="F813" s="25" t="n">
        <v>6</v>
      </c>
      <c r="G813" s="25" t="n">
        <v>450</v>
      </c>
      <c r="H813" s="28" t="n">
        <v>0.2</v>
      </c>
      <c r="I813" s="25" t="n">
        <v>190</v>
      </c>
    </row>
    <row r="814">
      <c r="A814" s="25" t="inlineStr">
        <is>
          <t>ORD-10998</t>
        </is>
      </c>
      <c r="B814" s="25" t="inlineStr">
        <is>
          <t>26-Oct-2025</t>
        </is>
      </c>
      <c r="C814" s="25" t="inlineStr">
        <is>
          <t>North</t>
        </is>
      </c>
      <c r="D814" s="25" t="inlineStr">
        <is>
          <t>Office Supplies</t>
        </is>
      </c>
      <c r="E814" s="25" t="inlineStr">
        <is>
          <t>Printer Paper Box</t>
        </is>
      </c>
      <c r="F814" s="25" t="n">
        <v>1</v>
      </c>
      <c r="G814" s="25" t="n">
        <v>1600</v>
      </c>
      <c r="H814" s="28" t="n">
        <v>0.2</v>
      </c>
      <c r="I814" s="25" t="n">
        <v>1050</v>
      </c>
    </row>
    <row r="815">
      <c r="A815" s="25" t="inlineStr">
        <is>
          <t>ORD-10804</t>
        </is>
      </c>
      <c r="B815" s="26" t="n">
        <v>45696</v>
      </c>
      <c r="C815" s="25" t="inlineStr">
        <is>
          <t>South</t>
        </is>
      </c>
      <c r="D815" s="25" t="inlineStr">
        <is>
          <t>Accessories</t>
        </is>
      </c>
      <c r="E815" s="25" t="inlineStr">
        <is>
          <t>USB-C Hub</t>
        </is>
      </c>
      <c r="F815" s="25" t="n">
        <v>4</v>
      </c>
      <c r="G815" s="25" t="n">
        <v>1800</v>
      </c>
      <c r="H815" s="28" t="n">
        <v>0.1</v>
      </c>
      <c r="I815" s="25" t="n">
        <v>980</v>
      </c>
    </row>
    <row r="816">
      <c r="A816" s="25" t="inlineStr">
        <is>
          <t>ORD-10144</t>
        </is>
      </c>
      <c r="B816" s="26" t="n">
        <v>45843</v>
      </c>
      <c r="C816" s="25" t="inlineStr">
        <is>
          <t>West</t>
        </is>
      </c>
      <c r="D816" s="25" t="inlineStr">
        <is>
          <t>Office Supplies</t>
        </is>
      </c>
      <c r="E816" s="25" t="inlineStr">
        <is>
          <t>Printer Paper Box</t>
        </is>
      </c>
      <c r="F816" s="25" t="n">
        <v>5</v>
      </c>
      <c r="G816" s="25" t="n">
        <v>1600</v>
      </c>
      <c r="H816" s="28" t="n">
        <v>0</v>
      </c>
      <c r="I816" s="25" t="n">
        <v>1050</v>
      </c>
    </row>
    <row r="817">
      <c r="A817" s="25" t="inlineStr">
        <is>
          <t>ORD-10050</t>
        </is>
      </c>
      <c r="B817" s="25" t="inlineStr">
        <is>
          <t>09-Jan-2025</t>
        </is>
      </c>
      <c r="C817" s="25" t="inlineStr">
        <is>
          <t>North</t>
        </is>
      </c>
      <c r="D817" s="25" t="inlineStr">
        <is>
          <t>Furniture</t>
        </is>
      </c>
      <c r="E817" s="25" t="inlineStr">
        <is>
          <t>Bookshelf</t>
        </is>
      </c>
      <c r="F817" s="25" t="n">
        <v>3</v>
      </c>
      <c r="G817" s="25" t="n">
        <v>6200</v>
      </c>
      <c r="H817" s="28" t="n">
        <v>0.2</v>
      </c>
      <c r="I817" s="25" t="n">
        <v>4100</v>
      </c>
    </row>
    <row r="818">
      <c r="A818" s="25" t="inlineStr">
        <is>
          <t>ORD-10437</t>
        </is>
      </c>
      <c r="B818" s="26" t="n">
        <v>45924</v>
      </c>
      <c r="C818" s="25" t="inlineStr">
        <is>
          <t>South</t>
        </is>
      </c>
      <c r="D818" s="25" t="inlineStr">
        <is>
          <t>Office Supplies</t>
        </is>
      </c>
      <c r="E818" s="25" t="inlineStr">
        <is>
          <t>Notebook Set</t>
        </is>
      </c>
      <c r="F818" s="25" t="n">
        <v>7</v>
      </c>
      <c r="G818" s="25" t="n">
        <v>450</v>
      </c>
      <c r="H818" s="28" t="n">
        <v>0</v>
      </c>
      <c r="I818" s="25" t="n">
        <v>190</v>
      </c>
    </row>
    <row r="819">
      <c r="A819" s="25" t="inlineStr">
        <is>
          <t>ORD-10070</t>
        </is>
      </c>
      <c r="B819" s="26" t="n">
        <v>45827</v>
      </c>
      <c r="C819" s="25" t="inlineStr">
        <is>
          <t>East</t>
        </is>
      </c>
      <c r="D819" s="25" t="inlineStr">
        <is>
          <t>Accessories</t>
        </is>
      </c>
      <c r="E819" s="25" t="inlineStr">
        <is>
          <t>Headphones</t>
        </is>
      </c>
      <c r="F819" s="25" t="n">
        <v>1</v>
      </c>
      <c r="G819" s="25" t="n">
        <v>4500</v>
      </c>
      <c r="H819" s="28" t="n">
        <v>0</v>
      </c>
      <c r="I819" s="25" t="n">
        <v>2600</v>
      </c>
    </row>
    <row r="820">
      <c r="A820" s="25" t="inlineStr">
        <is>
          <t>ORD-10605</t>
        </is>
      </c>
      <c r="B820" s="25" t="inlineStr">
        <is>
          <t>22-May-2025</t>
        </is>
      </c>
      <c r="C820" s="25" t="inlineStr">
        <is>
          <t>West</t>
        </is>
      </c>
      <c r="D820" s="25" t="inlineStr">
        <is>
          <t>Accessories</t>
        </is>
      </c>
      <c r="E820" s="25" t="inlineStr">
        <is>
          <t>Headphones</t>
        </is>
      </c>
      <c r="F820" s="25" t="n">
        <v>3</v>
      </c>
      <c r="G820" s="25" t="n">
        <v>4500</v>
      </c>
      <c r="H820" s="28" t="n">
        <v>0</v>
      </c>
      <c r="I820" s="25" t="n">
        <v>2600</v>
      </c>
    </row>
    <row r="821">
      <c r="A821" s="25" t="inlineStr">
        <is>
          <t>ORD-10438</t>
        </is>
      </c>
      <c r="B821" s="26" t="n">
        <v>45684</v>
      </c>
      <c r="C821" s="25" t="inlineStr">
        <is>
          <t>south</t>
        </is>
      </c>
      <c r="D821" s="25" t="inlineStr">
        <is>
          <t>Technology</t>
        </is>
      </c>
      <c r="E821" s="25" t="inlineStr">
        <is>
          <t>Wireless Mouse</t>
        </is>
      </c>
      <c r="F821" s="25" t="n">
        <v>2</v>
      </c>
      <c r="G821" s="25" t="n">
        <v>1200</v>
      </c>
      <c r="H821" s="28" t="n">
        <v>0.05</v>
      </c>
      <c r="I821" s="25" t="n">
        <v>650</v>
      </c>
    </row>
    <row r="822">
      <c r="A822" s="25" t="inlineStr">
        <is>
          <t>ORD-10283</t>
        </is>
      </c>
      <c r="B822" s="26" t="n">
        <v>45823</v>
      </c>
      <c r="C822" s="25" t="inlineStr">
        <is>
          <t>East</t>
        </is>
      </c>
      <c r="D822" s="25" t="inlineStr">
        <is>
          <t>Office Supplies</t>
        </is>
      </c>
      <c r="E822" s="25" t="inlineStr">
        <is>
          <t>Printer Paper Box</t>
        </is>
      </c>
      <c r="F822" s="25" t="n">
        <v>3</v>
      </c>
      <c r="G822" s="25" t="n">
        <v>1600</v>
      </c>
      <c r="H822" s="28" t="n">
        <v>0.05</v>
      </c>
      <c r="I822" s="25" t="n">
        <v>1050</v>
      </c>
    </row>
    <row r="823">
      <c r="A823" s="25" t="inlineStr">
        <is>
          <t>ORD-11138</t>
        </is>
      </c>
      <c r="B823" s="26" t="n">
        <v>45999</v>
      </c>
      <c r="C823" s="25" t="inlineStr">
        <is>
          <t>North</t>
        </is>
      </c>
      <c r="D823" s="25" t="inlineStr">
        <is>
          <t>Office Supplies</t>
        </is>
      </c>
      <c r="E823" s="25" t="inlineStr">
        <is>
          <t>Printer Paper Box</t>
        </is>
      </c>
      <c r="F823" s="25" t="n">
        <v>5</v>
      </c>
      <c r="G823" s="25" t="n">
        <v>1600</v>
      </c>
      <c r="H823" s="28" t="n">
        <v>0.05</v>
      </c>
      <c r="I823" s="25" t="n">
        <v>1050</v>
      </c>
    </row>
    <row r="824">
      <c r="A824" s="25" t="inlineStr">
        <is>
          <t>ORD-10304</t>
        </is>
      </c>
      <c r="B824" s="26" t="n">
        <v>45752</v>
      </c>
      <c r="C824" s="25" t="inlineStr">
        <is>
          <t>West</t>
        </is>
      </c>
      <c r="D824" s="25" t="inlineStr">
        <is>
          <t>Technology</t>
        </is>
      </c>
      <c r="E824" s="25" t="inlineStr">
        <is>
          <t>Monitor 24"</t>
        </is>
      </c>
      <c r="F824" s="25" t="n">
        <v>1</v>
      </c>
      <c r="G824" s="25" t="n">
        <v>11500</v>
      </c>
      <c r="H824" s="28" t="n">
        <v>0.05</v>
      </c>
      <c r="I824" s="25" t="n">
        <v>8200</v>
      </c>
    </row>
    <row r="825">
      <c r="A825" s="25" t="inlineStr">
        <is>
          <t>ORD-10083</t>
        </is>
      </c>
      <c r="B825" s="26" t="n">
        <v>45709</v>
      </c>
      <c r="C825" s="25" t="inlineStr">
        <is>
          <t>South</t>
        </is>
      </c>
      <c r="D825" s="25" t="inlineStr">
        <is>
          <t>Accessories</t>
        </is>
      </c>
      <c r="E825" s="25" t="inlineStr">
        <is>
          <t>USB-C Hub</t>
        </is>
      </c>
      <c r="F825" s="25" t="n">
        <v>3</v>
      </c>
      <c r="G825" s="25" t="n">
        <v>1800</v>
      </c>
      <c r="H825" s="28" t="n">
        <v>0.2</v>
      </c>
      <c r="I825" s="25" t="n">
        <v>980</v>
      </c>
    </row>
    <row r="826">
      <c r="A826" s="25" t="inlineStr">
        <is>
          <t>ORD-10315</t>
        </is>
      </c>
      <c r="B826" s="25" t="inlineStr">
        <is>
          <t>05-Jan-2025</t>
        </is>
      </c>
      <c r="C826" s="25" t="inlineStr">
        <is>
          <t>South</t>
        </is>
      </c>
      <c r="D826" s="25" t="inlineStr">
        <is>
          <t>Technology</t>
        </is>
      </c>
      <c r="E826" s="25" t="inlineStr">
        <is>
          <t>Wireless Mouse</t>
        </is>
      </c>
      <c r="F826" s="25" t="n">
        <v>1</v>
      </c>
      <c r="G826" s="25" t="n">
        <v>1200</v>
      </c>
      <c r="H826" s="28" t="n">
        <v>0</v>
      </c>
      <c r="I826" s="25" t="n">
        <v>650</v>
      </c>
    </row>
    <row r="827">
      <c r="A827" s="25" t="inlineStr">
        <is>
          <t>ORD-10311</t>
        </is>
      </c>
      <c r="B827" s="25" t="inlineStr">
        <is>
          <t>28-Mar-2025</t>
        </is>
      </c>
      <c r="C827" s="25" t="inlineStr">
        <is>
          <t>South</t>
        </is>
      </c>
      <c r="D827" s="25" t="inlineStr">
        <is>
          <t>Technology</t>
        </is>
      </c>
      <c r="E827" s="25" t="inlineStr">
        <is>
          <t>Wireless Mouse</t>
        </is>
      </c>
      <c r="F827" s="25" t="n">
        <v>5</v>
      </c>
      <c r="G827" s="25" t="n">
        <v>1200</v>
      </c>
      <c r="H827" s="28" t="n">
        <v>0.05</v>
      </c>
      <c r="I827" s="25" t="n">
        <v>650</v>
      </c>
    </row>
    <row r="828">
      <c r="A828" s="25" t="inlineStr">
        <is>
          <t>ORD-10045</t>
        </is>
      </c>
      <c r="B828" s="26" t="n">
        <v>46004</v>
      </c>
      <c r="C828" s="25" t="inlineStr">
        <is>
          <t>West</t>
        </is>
      </c>
      <c r="D828" s="25" t="inlineStr">
        <is>
          <t>Office Supplies</t>
        </is>
      </c>
      <c r="E828" s="25" t="inlineStr">
        <is>
          <t>Notebook Set</t>
        </is>
      </c>
      <c r="F828" s="25" t="n">
        <v>6</v>
      </c>
      <c r="G828" s="25" t="n">
        <v>450</v>
      </c>
      <c r="H828" s="28" t="n">
        <v>0.2</v>
      </c>
      <c r="I828" s="25" t="n">
        <v>190</v>
      </c>
    </row>
    <row r="829">
      <c r="A829" s="25" t="inlineStr">
        <is>
          <t>ORD-11111</t>
        </is>
      </c>
      <c r="B829" s="26" t="n">
        <v>45935</v>
      </c>
      <c r="C829" s="25" t="inlineStr">
        <is>
          <t>West</t>
        </is>
      </c>
      <c r="D829" s="25" t="inlineStr">
        <is>
          <t>Office Supplies</t>
        </is>
      </c>
      <c r="E829" s="25" t="inlineStr">
        <is>
          <t>Printer Paper Box</t>
        </is>
      </c>
      <c r="F829" s="25" t="n">
        <v>6</v>
      </c>
      <c r="G829" s="25" t="n">
        <v>1600</v>
      </c>
      <c r="H829" s="28" t="n">
        <v>0.15</v>
      </c>
      <c r="I829" s="25" t="n">
        <v>1050</v>
      </c>
    </row>
    <row r="830">
      <c r="A830" s="25" t="inlineStr">
        <is>
          <t>ORD-11050</t>
        </is>
      </c>
      <c r="B830" s="26" t="n">
        <v>45975</v>
      </c>
      <c r="C830" s="25" t="inlineStr">
        <is>
          <t xml:space="preserve"> East</t>
        </is>
      </c>
      <c r="D830" s="25" t="inlineStr">
        <is>
          <t>Technology</t>
        </is>
      </c>
      <c r="E830" s="25" t="inlineStr">
        <is>
          <t>Monitor 24"</t>
        </is>
      </c>
      <c r="F830" s="25" t="n">
        <v>2</v>
      </c>
      <c r="G830" s="25" t="n">
        <v>11500</v>
      </c>
      <c r="H830" s="28" t="n">
        <v>0</v>
      </c>
      <c r="I830" s="25" t="n">
        <v>8200</v>
      </c>
    </row>
    <row r="831">
      <c r="A831" s="25" t="inlineStr">
        <is>
          <t>ORD-10174</t>
        </is>
      </c>
      <c r="B831" s="26" t="n">
        <v>45917</v>
      </c>
      <c r="C831" s="25" t="inlineStr">
        <is>
          <t>South</t>
        </is>
      </c>
      <c r="D831" s="25" t="inlineStr">
        <is>
          <t>Furniture</t>
        </is>
      </c>
      <c r="E831" s="25" t="inlineStr">
        <is>
          <t>Office Chair</t>
        </is>
      </c>
      <c r="F831" s="25" t="n">
        <v>1</v>
      </c>
      <c r="G831" s="25" t="n">
        <v>8500</v>
      </c>
      <c r="H831" s="28" t="n">
        <v>0</v>
      </c>
      <c r="I831" s="25" t="n">
        <v>5600</v>
      </c>
    </row>
    <row r="832">
      <c r="A832" s="25" t="inlineStr">
        <is>
          <t>ORD-10622</t>
        </is>
      </c>
      <c r="B832" s="26" t="n">
        <v>45979</v>
      </c>
      <c r="C832" s="25" t="inlineStr">
        <is>
          <t>West</t>
        </is>
      </c>
      <c r="D832" s="25" t="inlineStr">
        <is>
          <t>Accessories</t>
        </is>
      </c>
      <c r="E832" s="25" t="inlineStr">
        <is>
          <t>USB-C Hub</t>
        </is>
      </c>
      <c r="F832" s="25" t="n">
        <v>4</v>
      </c>
      <c r="G832" s="25" t="n">
        <v>1800</v>
      </c>
      <c r="H832" s="28" t="n">
        <v>0</v>
      </c>
      <c r="I832" s="25" t="n">
        <v>980</v>
      </c>
    </row>
    <row r="833">
      <c r="A833" s="25" t="inlineStr">
        <is>
          <t>ORD-10777</t>
        </is>
      </c>
      <c r="B833" s="26" t="n">
        <v>45969</v>
      </c>
      <c r="C833" s="25" t="inlineStr">
        <is>
          <t xml:space="preserve">South </t>
        </is>
      </c>
      <c r="D833" s="25" t="inlineStr">
        <is>
          <t>Accessories</t>
        </is>
      </c>
      <c r="E833" s="25" t="inlineStr">
        <is>
          <t>Webcam</t>
        </is>
      </c>
      <c r="F833" s="25" t="n">
        <v>2</v>
      </c>
      <c r="G833" s="25" t="n">
        <v>3200</v>
      </c>
      <c r="H833" s="28" t="n">
        <v>0</v>
      </c>
      <c r="I833" s="25" t="n">
        <v>1900</v>
      </c>
    </row>
    <row r="834">
      <c r="A834" s="25" t="inlineStr">
        <is>
          <t>ORD-10968</t>
        </is>
      </c>
      <c r="B834" s="25" t="inlineStr">
        <is>
          <t>13-Oct-2025</t>
        </is>
      </c>
      <c r="C834" s="25" t="inlineStr">
        <is>
          <t>North</t>
        </is>
      </c>
      <c r="D834" s="25" t="inlineStr">
        <is>
          <t>Accessories</t>
        </is>
      </c>
      <c r="E834" s="25" t="inlineStr">
        <is>
          <t>USB-C Hub</t>
        </is>
      </c>
      <c r="F834" s="25" t="n">
        <v>3</v>
      </c>
      <c r="G834" s="25" t="n">
        <v>1800</v>
      </c>
      <c r="H834" s="28" t="n">
        <v>0.15</v>
      </c>
      <c r="I834" s="25" t="n">
        <v>980</v>
      </c>
    </row>
    <row r="835">
      <c r="A835" s="25" t="inlineStr">
        <is>
          <t>ORD-10429</t>
        </is>
      </c>
      <c r="B835" s="26" t="n">
        <v>45683</v>
      </c>
      <c r="C835" s="25" t="inlineStr">
        <is>
          <t>South</t>
        </is>
      </c>
      <c r="D835" s="25" t="inlineStr">
        <is>
          <t>Office Supplies</t>
        </is>
      </c>
      <c r="E835" s="25" t="inlineStr">
        <is>
          <t>Notebook Set</t>
        </is>
      </c>
      <c r="F835" s="25" t="n">
        <v>4</v>
      </c>
      <c r="G835" s="25" t="n">
        <v>450</v>
      </c>
      <c r="H835" s="28" t="n">
        <v>0</v>
      </c>
      <c r="I835" s="25" t="n">
        <v>190</v>
      </c>
    </row>
    <row r="836">
      <c r="A836" s="25" t="inlineStr">
        <is>
          <t>ORD-10957</t>
        </is>
      </c>
      <c r="B836" s="26" t="n">
        <v>45993</v>
      </c>
      <c r="C836" s="25" t="inlineStr">
        <is>
          <t>WEST</t>
        </is>
      </c>
      <c r="D836" s="25" t="inlineStr">
        <is>
          <t>Technology</t>
        </is>
      </c>
      <c r="E836" s="25" t="inlineStr">
        <is>
          <t>Monitor 24"</t>
        </is>
      </c>
      <c r="F836" s="25" t="n">
        <v>1</v>
      </c>
      <c r="G836" s="25" t="n">
        <v>11500</v>
      </c>
      <c r="H836" s="28" t="n">
        <v>0.1</v>
      </c>
      <c r="I836" s="25" t="n">
        <v>8200</v>
      </c>
    </row>
    <row r="837">
      <c r="A837" s="25" t="inlineStr">
        <is>
          <t>ORD-11102</t>
        </is>
      </c>
      <c r="B837" s="26" t="n">
        <v>45846</v>
      </c>
      <c r="C837" s="25" t="inlineStr">
        <is>
          <t>South</t>
        </is>
      </c>
      <c r="D837" s="25" t="inlineStr">
        <is>
          <t>Furniture</t>
        </is>
      </c>
      <c r="E837" s="25" t="inlineStr">
        <is>
          <t>Office Chair</t>
        </is>
      </c>
      <c r="F837" s="25" t="n">
        <v>2</v>
      </c>
      <c r="G837" s="25" t="n">
        <v>8500</v>
      </c>
      <c r="H837" s="28" t="n">
        <v>0.15</v>
      </c>
      <c r="I837" s="25" t="n">
        <v>5600</v>
      </c>
    </row>
    <row r="838">
      <c r="A838" s="25" t="inlineStr">
        <is>
          <t>ORD-11115</t>
        </is>
      </c>
      <c r="B838" s="26" t="n">
        <v>45778</v>
      </c>
      <c r="C838" s="25" t="inlineStr">
        <is>
          <t>South</t>
        </is>
      </c>
      <c r="D838" s="25" t="inlineStr">
        <is>
          <t>Technology</t>
        </is>
      </c>
      <c r="E838" s="25" t="inlineStr">
        <is>
          <t>Mechanical Keyboard</t>
        </is>
      </c>
      <c r="F838" s="25" t="n">
        <v>3</v>
      </c>
      <c r="G838" s="25" t="n">
        <v>4200</v>
      </c>
      <c r="H838" s="28" t="n">
        <v>0.15</v>
      </c>
      <c r="I838" s="25" t="n">
        <v>2500</v>
      </c>
    </row>
    <row r="839">
      <c r="A839" s="25" t="inlineStr">
        <is>
          <t>ORD-10109</t>
        </is>
      </c>
      <c r="B839" s="25" t="inlineStr">
        <is>
          <t>03-May-2025</t>
        </is>
      </c>
      <c r="C839" s="25" t="inlineStr">
        <is>
          <t>East</t>
        </is>
      </c>
      <c r="D839" s="25" t="inlineStr">
        <is>
          <t>Office Supplies</t>
        </is>
      </c>
      <c r="E839" s="25" t="inlineStr">
        <is>
          <t>Desk Organizer</t>
        </is>
      </c>
      <c r="F839" s="25" t="n">
        <v>3</v>
      </c>
      <c r="G839" s="25" t="n">
        <v>850</v>
      </c>
      <c r="H839" s="28" t="n">
        <v>0.1</v>
      </c>
      <c r="I839" s="25" t="n">
        <v>420</v>
      </c>
    </row>
    <row r="840">
      <c r="A840" s="25" t="inlineStr">
        <is>
          <t>ORD-10143</t>
        </is>
      </c>
      <c r="B840" s="25" t="inlineStr">
        <is>
          <t>11-Sep-2025</t>
        </is>
      </c>
      <c r="C840" s="25" t="inlineStr">
        <is>
          <t>West</t>
        </is>
      </c>
      <c r="D840" s="25" t="inlineStr">
        <is>
          <t>Furniture</t>
        </is>
      </c>
      <c r="E840" s="25" t="inlineStr">
        <is>
          <t>Office Chair</t>
        </is>
      </c>
      <c r="F840" s="25" t="n">
        <v>2</v>
      </c>
      <c r="G840" s="25" t="n">
        <v>8500</v>
      </c>
      <c r="H840" s="28" t="n">
        <v>0</v>
      </c>
      <c r="I840" s="25" t="n">
        <v>5600</v>
      </c>
    </row>
    <row r="841">
      <c r="A841" s="25" t="inlineStr">
        <is>
          <t>ORD-10260</t>
        </is>
      </c>
      <c r="B841" s="25" t="inlineStr">
        <is>
          <t>09-Dec-2025</t>
        </is>
      </c>
      <c r="C841" s="25" t="inlineStr">
        <is>
          <t>East</t>
        </is>
      </c>
      <c r="D841" s="25" t="inlineStr">
        <is>
          <t>Technology</t>
        </is>
      </c>
      <c r="E841" s="25" t="inlineStr">
        <is>
          <t>Wireless Mouse</t>
        </is>
      </c>
      <c r="F841" s="25" t="n">
        <v>4</v>
      </c>
      <c r="G841" s="25" t="n">
        <v>1200</v>
      </c>
      <c r="H841" s="28" t="n">
        <v>0.05</v>
      </c>
      <c r="I841" s="25" t="n">
        <v>650</v>
      </c>
    </row>
    <row r="842">
      <c r="A842" s="25" t="inlineStr">
        <is>
          <t>ORD-10578</t>
        </is>
      </c>
      <c r="B842" s="26" t="n">
        <v>45925</v>
      </c>
      <c r="C842" s="25" t="inlineStr">
        <is>
          <t>South</t>
        </is>
      </c>
      <c r="D842" s="25" t="inlineStr">
        <is>
          <t>Office Supplies</t>
        </is>
      </c>
      <c r="E842" s="25" t="inlineStr">
        <is>
          <t>Desk Organizer</t>
        </is>
      </c>
      <c r="F842" s="25" t="n">
        <v>2</v>
      </c>
      <c r="G842" s="25" t="n">
        <v>850</v>
      </c>
      <c r="H842" s="28" t="n">
        <v>0.15</v>
      </c>
      <c r="I842" s="25" t="n">
        <v>420</v>
      </c>
    </row>
    <row r="843">
      <c r="A843" s="25" t="inlineStr">
        <is>
          <t>ORD-10086</t>
        </is>
      </c>
      <c r="B843" s="25" t="inlineStr">
        <is>
          <t>25-Oct-2025</t>
        </is>
      </c>
      <c r="C843" s="25" t="inlineStr">
        <is>
          <t>North</t>
        </is>
      </c>
      <c r="D843" s="25" t="inlineStr">
        <is>
          <t>Furniture</t>
        </is>
      </c>
      <c r="E843" s="25" t="inlineStr">
        <is>
          <t>Office Chair</t>
        </is>
      </c>
      <c r="F843" s="25" t="n">
        <v>1</v>
      </c>
      <c r="G843" s="25" t="n">
        <v>8500</v>
      </c>
      <c r="H843" s="28" t="n">
        <v>0.05</v>
      </c>
      <c r="I843" s="25" t="n">
        <v>5600</v>
      </c>
    </row>
    <row r="844">
      <c r="A844" s="25" t="inlineStr">
        <is>
          <t>ORD-10254</t>
        </is>
      </c>
      <c r="B844" s="26" t="n">
        <v>46001</v>
      </c>
      <c r="C844" s="25" t="inlineStr">
        <is>
          <t>South</t>
        </is>
      </c>
      <c r="D844" s="25" t="inlineStr">
        <is>
          <t>Accessories</t>
        </is>
      </c>
      <c r="E844" s="25" t="inlineStr">
        <is>
          <t>USB-C Hub</t>
        </is>
      </c>
      <c r="F844" s="25" t="n">
        <v>1</v>
      </c>
      <c r="G844" s="25" t="n">
        <v>1800</v>
      </c>
      <c r="H844" s="28" t="n">
        <v>0</v>
      </c>
      <c r="I844" s="25" t="n">
        <v>980</v>
      </c>
    </row>
    <row r="845">
      <c r="A845" s="25" t="inlineStr">
        <is>
          <t>ORD-10021</t>
        </is>
      </c>
      <c r="B845" s="26" t="n">
        <v>45741</v>
      </c>
      <c r="C845" s="25" t="inlineStr">
        <is>
          <t>West</t>
        </is>
      </c>
      <c r="D845" s="25" t="inlineStr">
        <is>
          <t>Office Supplies</t>
        </is>
      </c>
      <c r="E845" s="25" t="inlineStr">
        <is>
          <t>Notebook Set</t>
        </is>
      </c>
      <c r="F845" s="25" t="n">
        <v>1</v>
      </c>
      <c r="G845" s="25" t="n">
        <v>450</v>
      </c>
      <c r="H845" s="28" t="n">
        <v>0</v>
      </c>
      <c r="I845" s="25" t="n">
        <v>190</v>
      </c>
    </row>
    <row r="846">
      <c r="A846" s="25" t="inlineStr">
        <is>
          <t>ORD-11125</t>
        </is>
      </c>
      <c r="B846" s="25" t="inlineStr">
        <is>
          <t>03-Sep-2025</t>
        </is>
      </c>
      <c r="C846" s="25" t="inlineStr">
        <is>
          <t>South</t>
        </is>
      </c>
      <c r="D846" s="25" t="inlineStr">
        <is>
          <t>Furniture</t>
        </is>
      </c>
      <c r="E846" s="25" t="inlineStr">
        <is>
          <t>Bookshelf</t>
        </is>
      </c>
      <c r="F846" s="25" t="n">
        <v>1</v>
      </c>
      <c r="G846" s="25" t="n">
        <v>6200</v>
      </c>
      <c r="H846" s="28" t="n">
        <v>0.1</v>
      </c>
      <c r="I846" s="25" t="n">
        <v>4100</v>
      </c>
    </row>
    <row r="847">
      <c r="A847" s="25" t="inlineStr">
        <is>
          <t>ORD-10075</t>
        </is>
      </c>
      <c r="B847" s="26" t="n">
        <v>45676</v>
      </c>
      <c r="C847" s="25" t="inlineStr">
        <is>
          <t>South</t>
        </is>
      </c>
      <c r="D847" s="25" t="inlineStr">
        <is>
          <t>Technology</t>
        </is>
      </c>
      <c r="E847" s="25" t="inlineStr">
        <is>
          <t>Mechanical Keyboard</t>
        </is>
      </c>
      <c r="F847" s="25" t="n">
        <v>1</v>
      </c>
      <c r="G847" s="25" t="n">
        <v>4200</v>
      </c>
      <c r="H847" s="28" t="n">
        <v>0</v>
      </c>
      <c r="I847" s="25" t="n">
        <v>2500</v>
      </c>
    </row>
    <row r="848">
      <c r="A848" s="25" t="inlineStr">
        <is>
          <t>ORD-10575</t>
        </is>
      </c>
      <c r="B848" s="26" t="n">
        <v>45963</v>
      </c>
      <c r="C848" s="25" t="inlineStr">
        <is>
          <t>East</t>
        </is>
      </c>
      <c r="D848" s="25" t="inlineStr">
        <is>
          <t>Accessories</t>
        </is>
      </c>
      <c r="E848" s="25" t="inlineStr">
        <is>
          <t>Webcam</t>
        </is>
      </c>
      <c r="F848" s="25" t="n">
        <v>2</v>
      </c>
      <c r="G848" s="25" t="n"/>
      <c r="H848" s="28" t="n">
        <v>0.1</v>
      </c>
      <c r="I848" s="25" t="n">
        <v>1900</v>
      </c>
    </row>
    <row r="849">
      <c r="A849" s="25" t="inlineStr">
        <is>
          <t>ORD-10574</t>
        </is>
      </c>
      <c r="B849" s="26" t="n">
        <v>45988</v>
      </c>
      <c r="C849" s="25" t="inlineStr">
        <is>
          <t>East</t>
        </is>
      </c>
      <c r="D849" s="25" t="inlineStr">
        <is>
          <t>Office Supplies</t>
        </is>
      </c>
      <c r="E849" s="25" t="inlineStr">
        <is>
          <t>Printer Paper Box</t>
        </is>
      </c>
      <c r="F849" s="25" t="n">
        <v>1</v>
      </c>
      <c r="G849" s="25" t="n">
        <v>1600</v>
      </c>
      <c r="H849" s="28" t="n">
        <v>0</v>
      </c>
      <c r="I849" s="25" t="n">
        <v>1050</v>
      </c>
    </row>
    <row r="850">
      <c r="A850" s="25" t="inlineStr">
        <is>
          <t>ORD-10718</t>
        </is>
      </c>
      <c r="B850" s="26" t="n">
        <v>45717</v>
      </c>
      <c r="C850" s="25" t="inlineStr">
        <is>
          <t>north</t>
        </is>
      </c>
      <c r="D850" s="25" t="inlineStr">
        <is>
          <t>Furniture</t>
        </is>
      </c>
      <c r="E850" s="25" t="inlineStr">
        <is>
          <t>Office Chair</t>
        </is>
      </c>
      <c r="F850" s="25" t="n">
        <v>2</v>
      </c>
      <c r="G850" s="25" t="n">
        <v>8500</v>
      </c>
      <c r="H850" s="28" t="n">
        <v>0</v>
      </c>
      <c r="I850" s="25" t="n">
        <v>5600</v>
      </c>
    </row>
    <row r="851">
      <c r="A851" s="25" t="inlineStr">
        <is>
          <t>ORD-11033</t>
        </is>
      </c>
      <c r="B851" s="26" t="n">
        <v>45672</v>
      </c>
      <c r="C851" s="25" t="inlineStr">
        <is>
          <t>West</t>
        </is>
      </c>
      <c r="D851" s="25" t="inlineStr">
        <is>
          <t>Accessories</t>
        </is>
      </c>
      <c r="E851" s="25" t="inlineStr">
        <is>
          <t>USB-C Hub</t>
        </is>
      </c>
      <c r="F851" s="25" t="n">
        <v>3</v>
      </c>
      <c r="G851" s="25" t="n">
        <v>1800</v>
      </c>
      <c r="H851" s="28" t="n">
        <v>0</v>
      </c>
      <c r="I851" s="25" t="n">
        <v>980</v>
      </c>
    </row>
    <row r="852">
      <c r="A852" s="25" t="inlineStr">
        <is>
          <t>ORD-10490</t>
        </is>
      </c>
      <c r="B852" s="26" t="n">
        <v>45875</v>
      </c>
      <c r="C852" s="25" t="inlineStr">
        <is>
          <t>North</t>
        </is>
      </c>
      <c r="D852" s="25" t="inlineStr">
        <is>
          <t>Office Supplies</t>
        </is>
      </c>
      <c r="E852" s="25" t="inlineStr">
        <is>
          <t>Printer Paper Box</t>
        </is>
      </c>
      <c r="F852" s="25" t="n">
        <v>3</v>
      </c>
      <c r="G852" s="25" t="n">
        <v>1600</v>
      </c>
      <c r="H852" s="28" t="n">
        <v>0.1</v>
      </c>
      <c r="I852" s="25" t="n">
        <v>1050</v>
      </c>
    </row>
    <row r="853">
      <c r="A853" s="25" t="inlineStr">
        <is>
          <t>ORD-11151</t>
        </is>
      </c>
      <c r="B853" s="25" t="inlineStr">
        <is>
          <t>28-Nov-2025</t>
        </is>
      </c>
      <c r="C853" s="25" t="inlineStr">
        <is>
          <t>West</t>
        </is>
      </c>
      <c r="D853" s="25" t="inlineStr">
        <is>
          <t>Office Supplies</t>
        </is>
      </c>
      <c r="E853" s="25" t="inlineStr">
        <is>
          <t>Printer Paper Box</t>
        </is>
      </c>
      <c r="F853" s="25" t="n">
        <v>3</v>
      </c>
      <c r="G853" s="25" t="n">
        <v>1600</v>
      </c>
      <c r="H853" s="28" t="n">
        <v>0.2</v>
      </c>
      <c r="I853" s="25" t="n">
        <v>1050</v>
      </c>
    </row>
    <row r="854">
      <c r="A854" s="25" t="inlineStr">
        <is>
          <t>ORD-10087</t>
        </is>
      </c>
      <c r="B854" s="26" t="n">
        <v>45884</v>
      </c>
      <c r="C854" s="25" t="inlineStr">
        <is>
          <t>East</t>
        </is>
      </c>
      <c r="D854" s="25" t="inlineStr">
        <is>
          <t>Technology</t>
        </is>
      </c>
      <c r="E854" s="25" t="inlineStr">
        <is>
          <t>Wireless Mouse</t>
        </is>
      </c>
      <c r="F854" s="25" t="n">
        <v>5</v>
      </c>
      <c r="G854" s="25" t="n">
        <v>1200</v>
      </c>
      <c r="H854" s="28" t="n">
        <v>0.15</v>
      </c>
      <c r="I854" s="25" t="n">
        <v>650</v>
      </c>
    </row>
    <row r="855">
      <c r="A855" s="25" t="inlineStr">
        <is>
          <t>ORD-10373</t>
        </is>
      </c>
      <c r="B855" s="25" t="inlineStr">
        <is>
          <t>19-Apr-2025</t>
        </is>
      </c>
      <c r="C855" s="25" t="inlineStr">
        <is>
          <t>South</t>
        </is>
      </c>
      <c r="D855" s="25" t="inlineStr">
        <is>
          <t>Accessories</t>
        </is>
      </c>
      <c r="E855" s="25" t="inlineStr">
        <is>
          <t>Webcam</t>
        </is>
      </c>
      <c r="F855" s="25" t="n">
        <v>3</v>
      </c>
      <c r="G855" s="25" t="n">
        <v>3200</v>
      </c>
      <c r="H855" s="28" t="n">
        <v>0</v>
      </c>
      <c r="I855" s="25" t="n">
        <v>1900</v>
      </c>
    </row>
    <row r="856">
      <c r="A856" s="25" t="inlineStr">
        <is>
          <t>ORD-10201</t>
        </is>
      </c>
      <c r="B856" s="25" t="inlineStr">
        <is>
          <t>18-Feb-2025</t>
        </is>
      </c>
      <c r="C856" s="25" t="inlineStr">
        <is>
          <t>North</t>
        </is>
      </c>
      <c r="D856" s="25" t="inlineStr">
        <is>
          <t>Accessories</t>
        </is>
      </c>
      <c r="E856" s="25" t="inlineStr">
        <is>
          <t>Webcam</t>
        </is>
      </c>
      <c r="F856" s="25" t="n">
        <v>1</v>
      </c>
      <c r="G856" s="25" t="n">
        <v>3200</v>
      </c>
      <c r="H856" s="28" t="n">
        <v>0</v>
      </c>
      <c r="I856" s="25" t="n">
        <v>1900</v>
      </c>
    </row>
    <row r="857">
      <c r="A857" s="25" t="inlineStr">
        <is>
          <t>ORD-10268</t>
        </is>
      </c>
      <c r="B857" s="25" t="inlineStr">
        <is>
          <t>19-Nov-2025</t>
        </is>
      </c>
      <c r="C857" s="25" t="inlineStr">
        <is>
          <t>West</t>
        </is>
      </c>
      <c r="D857" s="25" t="inlineStr">
        <is>
          <t>Accessories</t>
        </is>
      </c>
      <c r="E857" s="25" t="inlineStr">
        <is>
          <t>Headphones</t>
        </is>
      </c>
      <c r="F857" s="25" t="n">
        <v>3</v>
      </c>
      <c r="G857" s="25" t="n">
        <v>4500</v>
      </c>
      <c r="H857" s="28" t="n">
        <v>0</v>
      </c>
      <c r="I857" s="25" t="n">
        <v>2600</v>
      </c>
    </row>
    <row r="858">
      <c r="A858" s="25" t="inlineStr">
        <is>
          <t>ORD-10997</t>
        </is>
      </c>
      <c r="B858" s="26" t="n">
        <v>45904</v>
      </c>
      <c r="C858" s="25" t="inlineStr">
        <is>
          <t>South</t>
        </is>
      </c>
      <c r="D858" s="25" t="inlineStr">
        <is>
          <t>Furniture</t>
        </is>
      </c>
      <c r="E858" s="25" t="inlineStr">
        <is>
          <t>Bookshelf</t>
        </is>
      </c>
      <c r="F858" s="25" t="n">
        <v>3</v>
      </c>
      <c r="G858" s="25" t="n">
        <v>6200</v>
      </c>
      <c r="H858" s="28" t="n">
        <v>0</v>
      </c>
      <c r="I858" s="25" t="n">
        <v>4100</v>
      </c>
    </row>
    <row r="859">
      <c r="A859" s="25" t="inlineStr">
        <is>
          <t>ORD-10419</t>
        </is>
      </c>
      <c r="B859" s="26" t="n">
        <v>45997</v>
      </c>
      <c r="C859" s="25" t="inlineStr">
        <is>
          <t>North</t>
        </is>
      </c>
      <c r="D859" s="25" t="inlineStr">
        <is>
          <t>Technology</t>
        </is>
      </c>
      <c r="E859" s="25" t="inlineStr">
        <is>
          <t>Monitor 24"</t>
        </is>
      </c>
      <c r="F859" s="25" t="n">
        <v>1</v>
      </c>
      <c r="G859" s="25" t="n">
        <v>11500</v>
      </c>
      <c r="H859" s="28" t="n">
        <v>0.1</v>
      </c>
      <c r="I859" s="25" t="n">
        <v>8200</v>
      </c>
    </row>
    <row r="860">
      <c r="A860" s="25" t="inlineStr">
        <is>
          <t>ORD-10746</t>
        </is>
      </c>
      <c r="B860" s="26" t="n">
        <v>45770</v>
      </c>
      <c r="C860" s="25" t="inlineStr">
        <is>
          <t>WEST</t>
        </is>
      </c>
      <c r="D860" s="25" t="inlineStr">
        <is>
          <t>Technology</t>
        </is>
      </c>
      <c r="E860" s="25" t="inlineStr">
        <is>
          <t>Monitor 24"</t>
        </is>
      </c>
      <c r="F860" s="25" t="n">
        <v>2</v>
      </c>
      <c r="G860" s="25" t="n">
        <v>11500</v>
      </c>
      <c r="H860" s="28" t="n">
        <v>0</v>
      </c>
      <c r="I860" s="25" t="n">
        <v>8200</v>
      </c>
    </row>
    <row r="861">
      <c r="A861" s="25" t="inlineStr">
        <is>
          <t>ORD-10734</t>
        </is>
      </c>
      <c r="B861" s="26" t="n">
        <v>46010</v>
      </c>
      <c r="C861" s="25" t="inlineStr">
        <is>
          <t>East</t>
        </is>
      </c>
      <c r="D861" s="25" t="inlineStr">
        <is>
          <t>Office Supplies</t>
        </is>
      </c>
      <c r="E861" s="25" t="inlineStr">
        <is>
          <t>Notebook Set</t>
        </is>
      </c>
      <c r="F861" s="25" t="n">
        <v>6</v>
      </c>
      <c r="G861" s="25" t="n">
        <v>450</v>
      </c>
      <c r="H861" s="28" t="n">
        <v>0.05</v>
      </c>
      <c r="I861" s="25" t="n">
        <v>190</v>
      </c>
    </row>
    <row r="862">
      <c r="A862" s="25" t="inlineStr">
        <is>
          <t>ORD-11150</t>
        </is>
      </c>
      <c r="B862" s="26" t="n">
        <v>45696</v>
      </c>
      <c r="C862" s="25" t="inlineStr">
        <is>
          <t>South</t>
        </is>
      </c>
      <c r="D862" s="25" t="inlineStr">
        <is>
          <t>Technology</t>
        </is>
      </c>
      <c r="E862" s="25" t="inlineStr">
        <is>
          <t>Mechanical Keyboard</t>
        </is>
      </c>
      <c r="F862" s="25" t="n">
        <v>3</v>
      </c>
      <c r="G862" s="25" t="n">
        <v>4200</v>
      </c>
      <c r="H862" s="28" t="n">
        <v>0.15</v>
      </c>
      <c r="I862" s="25" t="n">
        <v>2500</v>
      </c>
    </row>
    <row r="863">
      <c r="A863" s="25" t="inlineStr">
        <is>
          <t>ORD-11075</t>
        </is>
      </c>
      <c r="B863" s="26" t="n">
        <v>45891</v>
      </c>
      <c r="C863" s="25" t="inlineStr">
        <is>
          <t>West</t>
        </is>
      </c>
      <c r="D863" s="25" t="inlineStr">
        <is>
          <t>Accessories</t>
        </is>
      </c>
      <c r="E863" s="25" t="inlineStr">
        <is>
          <t>USB-C Hub</t>
        </is>
      </c>
      <c r="F863" s="25" t="n">
        <v>1</v>
      </c>
      <c r="G863" s="25" t="n">
        <v>1800</v>
      </c>
      <c r="H863" s="28" t="n">
        <v>0</v>
      </c>
      <c r="I863" s="25" t="n">
        <v>980</v>
      </c>
    </row>
    <row r="864">
      <c r="A864" s="25" t="inlineStr">
        <is>
          <t>ORD-10394</t>
        </is>
      </c>
      <c r="B864" s="25" t="inlineStr">
        <is>
          <t>02-Sep-2025</t>
        </is>
      </c>
      <c r="C864" s="25" t="inlineStr">
        <is>
          <t>East</t>
        </is>
      </c>
      <c r="D864" s="25" t="inlineStr">
        <is>
          <t>Office Supplies</t>
        </is>
      </c>
      <c r="E864" s="25" t="inlineStr">
        <is>
          <t>Notebook Set</t>
        </is>
      </c>
      <c r="F864" s="25" t="n">
        <v>7</v>
      </c>
      <c r="G864" s="25" t="n">
        <v>450</v>
      </c>
      <c r="H864" s="28" t="n">
        <v>0.1</v>
      </c>
      <c r="I864" s="25" t="n">
        <v>190</v>
      </c>
    </row>
    <row r="865">
      <c r="A865" s="25" t="inlineStr">
        <is>
          <t>ORD-11092</t>
        </is>
      </c>
      <c r="B865" s="25" t="inlineStr">
        <is>
          <t>10-Jan-2025</t>
        </is>
      </c>
      <c r="C865" s="25" t="inlineStr">
        <is>
          <t>South</t>
        </is>
      </c>
      <c r="D865" s="25" t="inlineStr">
        <is>
          <t>Technology</t>
        </is>
      </c>
      <c r="E865" s="25" t="inlineStr">
        <is>
          <t>Mechanical Keyboard</t>
        </is>
      </c>
      <c r="F865" s="25" t="n">
        <v>1</v>
      </c>
      <c r="G865" s="25" t="n">
        <v>4200</v>
      </c>
      <c r="H865" s="28" t="n">
        <v>0.1</v>
      </c>
      <c r="I865" s="25" t="n">
        <v>2500</v>
      </c>
    </row>
    <row r="866">
      <c r="A866" s="25" t="inlineStr">
        <is>
          <t>ORD-10017</t>
        </is>
      </c>
      <c r="B866" s="26" t="n">
        <v>45695</v>
      </c>
      <c r="C866" s="25" t="inlineStr">
        <is>
          <t>East</t>
        </is>
      </c>
      <c r="D866" s="25" t="inlineStr">
        <is>
          <t>Accessories</t>
        </is>
      </c>
      <c r="E866" s="25" t="inlineStr">
        <is>
          <t>Headphones</t>
        </is>
      </c>
      <c r="F866" s="25" t="n">
        <v>3</v>
      </c>
      <c r="G866" s="25" t="n">
        <v>4500</v>
      </c>
      <c r="H866" s="28" t="n">
        <v>0.05</v>
      </c>
      <c r="I866" s="25" t="n">
        <v>2600</v>
      </c>
    </row>
    <row r="867">
      <c r="A867" s="25" t="inlineStr">
        <is>
          <t>ORD-10167</t>
        </is>
      </c>
      <c r="B867" s="26" t="n">
        <v>45675</v>
      </c>
      <c r="C867" s="25" t="inlineStr">
        <is>
          <t>South</t>
        </is>
      </c>
      <c r="D867" s="25" t="inlineStr">
        <is>
          <t>Furniture</t>
        </is>
      </c>
      <c r="E867" s="25" t="inlineStr">
        <is>
          <t>Bookshelf</t>
        </is>
      </c>
      <c r="F867" s="25" t="n">
        <v>2</v>
      </c>
      <c r="G867" s="25" t="n">
        <v>6200</v>
      </c>
      <c r="H867" s="28" t="n">
        <v>0.2</v>
      </c>
      <c r="I867" s="25" t="n">
        <v>4100</v>
      </c>
    </row>
    <row r="868">
      <c r="A868" s="25" t="inlineStr">
        <is>
          <t>ORD-10911</t>
        </is>
      </c>
      <c r="B868" s="26" t="n">
        <v>45753</v>
      </c>
      <c r="C868" s="25" t="inlineStr">
        <is>
          <t>north</t>
        </is>
      </c>
      <c r="D868" s="25" t="inlineStr">
        <is>
          <t>Furniture</t>
        </is>
      </c>
      <c r="E868" s="25" t="inlineStr">
        <is>
          <t>Bookshelf</t>
        </is>
      </c>
      <c r="F868" s="25" t="n">
        <v>1</v>
      </c>
      <c r="G868" s="25" t="n">
        <v>6200</v>
      </c>
      <c r="H868" s="28" t="n">
        <v>0</v>
      </c>
      <c r="I868" s="25" t="n">
        <v>4100</v>
      </c>
    </row>
    <row r="869">
      <c r="A869" s="25" t="inlineStr">
        <is>
          <t>ORD-10117</t>
        </is>
      </c>
      <c r="B869" s="26" t="n">
        <v>45926</v>
      </c>
      <c r="C869" s="25" t="inlineStr">
        <is>
          <t>South</t>
        </is>
      </c>
      <c r="D869" s="25" t="inlineStr">
        <is>
          <t>Office Supplies</t>
        </is>
      </c>
      <c r="E869" s="25" t="inlineStr">
        <is>
          <t>Notebook Set</t>
        </is>
      </c>
      <c r="F869" s="25" t="n">
        <v>3</v>
      </c>
      <c r="G869" s="25" t="n">
        <v>450</v>
      </c>
      <c r="H869" s="28" t="n">
        <v>0</v>
      </c>
      <c r="I869" s="25" t="n">
        <v>190</v>
      </c>
    </row>
    <row r="870">
      <c r="A870" s="25" t="inlineStr">
        <is>
          <t>ORD-10972</t>
        </is>
      </c>
      <c r="B870" s="26" t="n">
        <v>45977</v>
      </c>
      <c r="C870" s="25" t="inlineStr">
        <is>
          <t>SOUTH</t>
        </is>
      </c>
      <c r="D870" s="25" t="inlineStr">
        <is>
          <t>Office Supplies</t>
        </is>
      </c>
      <c r="E870" s="25" t="inlineStr">
        <is>
          <t>Desk Organizer</t>
        </is>
      </c>
      <c r="F870" s="25" t="n">
        <v>3</v>
      </c>
      <c r="G870" s="25" t="n">
        <v>850</v>
      </c>
      <c r="H870" s="28" t="n">
        <v>0</v>
      </c>
      <c r="I870" s="25" t="n">
        <v>420</v>
      </c>
    </row>
    <row r="871">
      <c r="A871" s="25" t="inlineStr">
        <is>
          <t>ORD-10305</t>
        </is>
      </c>
      <c r="B871" s="25" t="inlineStr">
        <is>
          <t>04-Aug-2025</t>
        </is>
      </c>
      <c r="C871" s="25" t="inlineStr">
        <is>
          <t>North</t>
        </is>
      </c>
      <c r="D871" s="25" t="inlineStr">
        <is>
          <t>Office Supplies</t>
        </is>
      </c>
      <c r="E871" s="25" t="inlineStr">
        <is>
          <t>Desk Organizer</t>
        </is>
      </c>
      <c r="F871" s="25" t="n">
        <v>1</v>
      </c>
      <c r="G871" s="25" t="n">
        <v>850</v>
      </c>
      <c r="H871" s="28" t="n">
        <v>0</v>
      </c>
      <c r="I871" s="25" t="n">
        <v>420</v>
      </c>
    </row>
    <row r="872">
      <c r="A872" s="25" t="inlineStr">
        <is>
          <t>ORD-10607</t>
        </is>
      </c>
      <c r="B872" s="26" t="n">
        <v>45727</v>
      </c>
      <c r="C872" s="25" t="inlineStr">
        <is>
          <t>North</t>
        </is>
      </c>
      <c r="D872" s="25" t="inlineStr">
        <is>
          <t>Accessories</t>
        </is>
      </c>
      <c r="E872" s="25" t="inlineStr">
        <is>
          <t>USB-C Hub</t>
        </is>
      </c>
      <c r="F872" s="25" t="n">
        <v>3</v>
      </c>
      <c r="G872" s="25" t="n">
        <v>1800</v>
      </c>
      <c r="H872" s="28" t="n">
        <v>0</v>
      </c>
      <c r="I872" s="25" t="n">
        <v>980</v>
      </c>
    </row>
    <row r="873">
      <c r="A873" s="25" t="inlineStr">
        <is>
          <t>ORD-11181</t>
        </is>
      </c>
      <c r="B873" s="26" t="n">
        <v>45670</v>
      </c>
      <c r="C873" s="25" t="inlineStr">
        <is>
          <t>South</t>
        </is>
      </c>
      <c r="D873" s="25" t="inlineStr">
        <is>
          <t>Office Supplies</t>
        </is>
      </c>
      <c r="E873" s="25" t="inlineStr">
        <is>
          <t>Notebook Set</t>
        </is>
      </c>
      <c r="F873" s="25" t="n">
        <v>4</v>
      </c>
      <c r="G873" s="25" t="n">
        <v>450</v>
      </c>
      <c r="H873" s="28" t="n">
        <v>0.1</v>
      </c>
      <c r="I873" s="25" t="n">
        <v>190</v>
      </c>
    </row>
    <row r="874">
      <c r="A874" s="25" t="inlineStr">
        <is>
          <t>ORD-10649</t>
        </is>
      </c>
      <c r="B874" s="26" t="n">
        <v>45743</v>
      </c>
      <c r="C874" s="25" t="inlineStr">
        <is>
          <t>East</t>
        </is>
      </c>
      <c r="D874" s="25" t="inlineStr">
        <is>
          <t>Furniture</t>
        </is>
      </c>
      <c r="E874" s="25" t="inlineStr">
        <is>
          <t>Bookshelf</t>
        </is>
      </c>
      <c r="F874" s="25" t="n">
        <v>1</v>
      </c>
      <c r="G874" s="25" t="n">
        <v>6200</v>
      </c>
      <c r="H874" s="28" t="n">
        <v>0.1</v>
      </c>
      <c r="I874" s="25" t="n">
        <v>4100</v>
      </c>
    </row>
    <row r="875">
      <c r="A875" s="25" t="inlineStr">
        <is>
          <t>ORD-10389</t>
        </is>
      </c>
      <c r="B875" s="25" t="inlineStr">
        <is>
          <t>07-Apr-2025</t>
        </is>
      </c>
      <c r="C875" s="25" t="inlineStr">
        <is>
          <t>North</t>
        </is>
      </c>
      <c r="D875" s="25" t="inlineStr">
        <is>
          <t>Office Supplies</t>
        </is>
      </c>
      <c r="E875" s="25" t="inlineStr">
        <is>
          <t>Desk Organizer</t>
        </is>
      </c>
      <c r="F875" s="25" t="n">
        <v>3</v>
      </c>
      <c r="G875" s="25" t="n">
        <v>850</v>
      </c>
      <c r="H875" s="28" t="n">
        <v>0.2</v>
      </c>
      <c r="I875" s="25" t="n">
        <v>420</v>
      </c>
    </row>
    <row r="876">
      <c r="A876" s="25" t="inlineStr">
        <is>
          <t>ORD-10073</t>
        </is>
      </c>
      <c r="B876" s="26" t="n">
        <v>45790</v>
      </c>
      <c r="C876" s="25" t="inlineStr">
        <is>
          <t>South</t>
        </is>
      </c>
      <c r="D876" s="25" t="inlineStr">
        <is>
          <t>Furniture</t>
        </is>
      </c>
      <c r="E876" s="25" t="inlineStr">
        <is>
          <t>Office Chair</t>
        </is>
      </c>
      <c r="F876" s="25" t="n">
        <v>1</v>
      </c>
      <c r="G876" s="25" t="n">
        <v>8500</v>
      </c>
      <c r="H876" s="28" t="n">
        <v>0.05</v>
      </c>
      <c r="I876" s="25" t="n">
        <v>5600</v>
      </c>
    </row>
    <row r="877">
      <c r="A877" s="25" t="inlineStr">
        <is>
          <t>ORD-11046</t>
        </is>
      </c>
      <c r="B877" s="26" t="n">
        <v>45968</v>
      </c>
      <c r="C877" s="25" t="inlineStr">
        <is>
          <t>North</t>
        </is>
      </c>
      <c r="D877" s="25" t="inlineStr">
        <is>
          <t>Accessories</t>
        </is>
      </c>
      <c r="E877" s="25" t="inlineStr">
        <is>
          <t>Headphones</t>
        </is>
      </c>
      <c r="F877" s="25" t="n">
        <v>3</v>
      </c>
      <c r="G877" s="25" t="n">
        <v>4500</v>
      </c>
      <c r="H877" s="28" t="n">
        <v>0.1</v>
      </c>
      <c r="I877" s="25" t="n">
        <v>2600</v>
      </c>
    </row>
    <row r="878">
      <c r="A878" s="25" t="inlineStr">
        <is>
          <t>ORD-10909</t>
        </is>
      </c>
      <c r="B878" s="26" t="n">
        <v>45805</v>
      </c>
      <c r="C878" s="25" t="inlineStr">
        <is>
          <t>North</t>
        </is>
      </c>
      <c r="D878" s="25" t="inlineStr">
        <is>
          <t>Accessories</t>
        </is>
      </c>
      <c r="E878" s="25" t="inlineStr">
        <is>
          <t>USB-C Hub</t>
        </is>
      </c>
      <c r="F878" s="25" t="n"/>
      <c r="G878" s="25" t="n">
        <v>1800</v>
      </c>
      <c r="H878" s="28" t="n">
        <v>0</v>
      </c>
      <c r="I878" s="25" t="n">
        <v>980</v>
      </c>
    </row>
    <row r="879">
      <c r="A879" s="25" t="inlineStr">
        <is>
          <t>ORD-10914</t>
        </is>
      </c>
      <c r="B879" s="26" t="n">
        <v>45681</v>
      </c>
      <c r="C879" s="25" t="inlineStr">
        <is>
          <t>South</t>
        </is>
      </c>
      <c r="D879" s="25" t="inlineStr">
        <is>
          <t>Accessories</t>
        </is>
      </c>
      <c r="E879" s="25" t="inlineStr">
        <is>
          <t>Headphones</t>
        </is>
      </c>
      <c r="F879" s="25" t="n">
        <v>1</v>
      </c>
      <c r="G879" s="25" t="n">
        <v>4500</v>
      </c>
      <c r="H879" s="28" t="n">
        <v>0</v>
      </c>
      <c r="I879" s="25" t="n">
        <v>2600</v>
      </c>
    </row>
    <row r="880">
      <c r="A880" s="25" t="inlineStr">
        <is>
          <t>ORD-10403</t>
        </is>
      </c>
      <c r="B880" s="26" t="n">
        <v>45863</v>
      </c>
      <c r="C880" s="25" t="inlineStr">
        <is>
          <t>South</t>
        </is>
      </c>
      <c r="D880" s="25" t="inlineStr">
        <is>
          <t>Office Supplies</t>
        </is>
      </c>
      <c r="E880" s="25" t="inlineStr">
        <is>
          <t>Desk Organizer</t>
        </is>
      </c>
      <c r="F880" s="25" t="n">
        <v>2</v>
      </c>
      <c r="G880" s="25" t="n">
        <v>850</v>
      </c>
      <c r="H880" s="28" t="n">
        <v>0.05</v>
      </c>
      <c r="I880" s="25" t="n">
        <v>420</v>
      </c>
    </row>
    <row r="881">
      <c r="A881" s="25" t="inlineStr">
        <is>
          <t>ORD-10934</t>
        </is>
      </c>
      <c r="B881" s="26" t="n">
        <v>45672</v>
      </c>
      <c r="C881" s="25" t="inlineStr">
        <is>
          <t>EAST</t>
        </is>
      </c>
      <c r="D881" s="25" t="inlineStr">
        <is>
          <t>Technology</t>
        </is>
      </c>
      <c r="E881" s="25" t="inlineStr">
        <is>
          <t>Wireless Mouse</t>
        </is>
      </c>
      <c r="F881" s="25" t="n">
        <v>1</v>
      </c>
      <c r="G881" s="25" t="n">
        <v>1200</v>
      </c>
      <c r="H881" s="28" t="n">
        <v>0.1</v>
      </c>
      <c r="I881" s="25" t="n">
        <v>650</v>
      </c>
    </row>
    <row r="882">
      <c r="A882" s="25" t="inlineStr">
        <is>
          <t>ORD-10562</t>
        </is>
      </c>
      <c r="B882" s="26" t="n">
        <v>45969</v>
      </c>
      <c r="C882" s="25" t="inlineStr">
        <is>
          <t>North</t>
        </is>
      </c>
      <c r="D882" s="25" t="inlineStr">
        <is>
          <t>Accessories</t>
        </is>
      </c>
      <c r="E882" s="25" t="inlineStr">
        <is>
          <t>USB-C Hub</t>
        </is>
      </c>
      <c r="F882" s="25" t="n">
        <v>2</v>
      </c>
      <c r="G882" s="25" t="n">
        <v>1800</v>
      </c>
      <c r="H882" s="28" t="n">
        <v>0.2</v>
      </c>
      <c r="I882" s="25" t="n">
        <v>980</v>
      </c>
    </row>
    <row r="883">
      <c r="A883" s="25" t="inlineStr">
        <is>
          <t>ORD-10731</t>
        </is>
      </c>
      <c r="B883" s="25" t="inlineStr">
        <is>
          <t>19-Jun-2025</t>
        </is>
      </c>
      <c r="C883" s="25" t="inlineStr">
        <is>
          <t>West</t>
        </is>
      </c>
      <c r="D883" s="25" t="inlineStr">
        <is>
          <t>Office Supplies</t>
        </is>
      </c>
      <c r="E883" s="25" t="inlineStr">
        <is>
          <t>Printer Paper Box</t>
        </is>
      </c>
      <c r="F883" s="25" t="n">
        <v>6</v>
      </c>
      <c r="G883" s="25" t="n">
        <v>1600</v>
      </c>
      <c r="H883" s="28" t="n">
        <v>0.1</v>
      </c>
      <c r="I883" s="25" t="n">
        <v>1050</v>
      </c>
    </row>
    <row r="884">
      <c r="A884" s="25" t="inlineStr">
        <is>
          <t>ORD-10676</t>
        </is>
      </c>
      <c r="B884" s="25" t="inlineStr">
        <is>
          <t>09-Nov-2025</t>
        </is>
      </c>
      <c r="C884" s="25" t="inlineStr">
        <is>
          <t>North</t>
        </is>
      </c>
      <c r="D884" s="25" t="inlineStr">
        <is>
          <t>Office Supplies</t>
        </is>
      </c>
      <c r="E884" s="25" t="inlineStr">
        <is>
          <t>Printer Paper Box</t>
        </is>
      </c>
      <c r="F884" s="25" t="n">
        <v>4</v>
      </c>
      <c r="G884" s="25" t="n">
        <v>1600</v>
      </c>
      <c r="H884" s="28" t="n">
        <v>0.1</v>
      </c>
      <c r="I884" s="25" t="n">
        <v>1050</v>
      </c>
    </row>
    <row r="885">
      <c r="A885" s="25" t="inlineStr">
        <is>
          <t>ORD-10765</t>
        </is>
      </c>
      <c r="B885" s="25" t="inlineStr">
        <is>
          <t>25-Nov-2025</t>
        </is>
      </c>
      <c r="C885" s="25" t="inlineStr">
        <is>
          <t>North</t>
        </is>
      </c>
      <c r="D885" s="25" t="inlineStr">
        <is>
          <t>Office Supplies</t>
        </is>
      </c>
      <c r="E885" s="25" t="inlineStr">
        <is>
          <t>Notebook Set</t>
        </is>
      </c>
      <c r="F885" s="25" t="n">
        <v>3</v>
      </c>
      <c r="G885" s="25" t="n">
        <v>450</v>
      </c>
      <c r="H885" s="28" t="n">
        <v>0</v>
      </c>
      <c r="I885" s="25" t="n">
        <v>190</v>
      </c>
    </row>
    <row r="886">
      <c r="A886" s="25" t="inlineStr">
        <is>
          <t>ORD-10185</t>
        </is>
      </c>
      <c r="B886" s="26" t="n">
        <v>45774</v>
      </c>
      <c r="C886" s="25" t="inlineStr">
        <is>
          <t>North</t>
        </is>
      </c>
      <c r="D886" s="25" t="inlineStr">
        <is>
          <t>Furniture</t>
        </is>
      </c>
      <c r="E886" s="25" t="inlineStr">
        <is>
          <t>Standing Desk</t>
        </is>
      </c>
      <c r="F886" s="25" t="n">
        <v>1</v>
      </c>
      <c r="G886" s="25" t="n">
        <v>19500</v>
      </c>
      <c r="H886" s="28" t="n">
        <v>0.05</v>
      </c>
      <c r="I886" s="25" t="n">
        <v>13800</v>
      </c>
    </row>
    <row r="887">
      <c r="A887" s="25" t="inlineStr">
        <is>
          <t>ORD-10551</t>
        </is>
      </c>
      <c r="B887" s="26" t="n">
        <v>45683</v>
      </c>
      <c r="C887" s="25" t="inlineStr">
        <is>
          <t>North</t>
        </is>
      </c>
      <c r="D887" s="25" t="inlineStr">
        <is>
          <t>Accessories</t>
        </is>
      </c>
      <c r="E887" s="25" t="inlineStr">
        <is>
          <t>Headphones</t>
        </is>
      </c>
      <c r="F887" s="25" t="n">
        <v>2</v>
      </c>
      <c r="G887" s="25" t="n">
        <v>4500</v>
      </c>
      <c r="H887" s="28" t="n">
        <v>0</v>
      </c>
      <c r="I887" s="25" t="n">
        <v>2600</v>
      </c>
    </row>
    <row r="888">
      <c r="A888" s="25" t="inlineStr">
        <is>
          <t>ORD-10858</t>
        </is>
      </c>
      <c r="B888" s="26" t="n">
        <v>45685</v>
      </c>
      <c r="C888" s="25" t="inlineStr">
        <is>
          <t>NORTH</t>
        </is>
      </c>
      <c r="D888" s="25" t="inlineStr">
        <is>
          <t>Accessories</t>
        </is>
      </c>
      <c r="E888" s="25" t="inlineStr">
        <is>
          <t>Headphones</t>
        </is>
      </c>
      <c r="F888" s="25" t="n">
        <v>1</v>
      </c>
      <c r="G888" s="25" t="n">
        <v>4500</v>
      </c>
      <c r="H888" s="28" t="n">
        <v>0</v>
      </c>
      <c r="I888" s="25" t="n">
        <v>2600</v>
      </c>
    </row>
    <row r="889">
      <c r="A889" s="25" t="inlineStr">
        <is>
          <t>ORD-10955</t>
        </is>
      </c>
      <c r="B889" s="25" t="inlineStr">
        <is>
          <t>24-May-2025</t>
        </is>
      </c>
      <c r="C889" s="25" t="inlineStr">
        <is>
          <t>WEST</t>
        </is>
      </c>
      <c r="D889" s="25" t="inlineStr">
        <is>
          <t>Technology</t>
        </is>
      </c>
      <c r="E889" s="25" t="inlineStr">
        <is>
          <t>Wireless Mouse</t>
        </is>
      </c>
      <c r="F889" s="25" t="n">
        <v>1</v>
      </c>
      <c r="G889" s="25" t="n">
        <v>1200</v>
      </c>
      <c r="H889" s="28" t="n">
        <v>0.2</v>
      </c>
      <c r="I889" s="25" t="n">
        <v>650</v>
      </c>
    </row>
    <row r="890">
      <c r="A890" s="25" t="inlineStr">
        <is>
          <t>ORD-10737</t>
        </is>
      </c>
      <c r="B890" s="26" t="n">
        <v>46016</v>
      </c>
      <c r="C890" s="25" t="inlineStr">
        <is>
          <t>West</t>
        </is>
      </c>
      <c r="D890" s="25" t="inlineStr">
        <is>
          <t>Office Supplies</t>
        </is>
      </c>
      <c r="E890" s="25" t="inlineStr">
        <is>
          <t>Notebook Set</t>
        </is>
      </c>
      <c r="F890" s="25" t="n">
        <v>7</v>
      </c>
      <c r="G890" s="25" t="n">
        <v>450</v>
      </c>
      <c r="H890" s="28" t="n">
        <v>0</v>
      </c>
      <c r="I890" s="25" t="n">
        <v>190</v>
      </c>
    </row>
    <row r="891">
      <c r="A891" s="25" t="inlineStr">
        <is>
          <t>ORD-10175</t>
        </is>
      </c>
      <c r="B891" s="26" t="n">
        <v>45822</v>
      </c>
      <c r="C891" s="25" t="inlineStr">
        <is>
          <t>East</t>
        </is>
      </c>
      <c r="D891" s="25" t="inlineStr">
        <is>
          <t>Office Supplies</t>
        </is>
      </c>
      <c r="E891" s="25" t="inlineStr">
        <is>
          <t>Printer Paper Box</t>
        </is>
      </c>
      <c r="F891" s="25" t="n">
        <v>4</v>
      </c>
      <c r="G891" s="25" t="n">
        <v>1600</v>
      </c>
      <c r="H891" s="28" t="n">
        <v>0</v>
      </c>
      <c r="I891" s="25" t="n">
        <v>1050</v>
      </c>
    </row>
    <row r="892">
      <c r="A892" s="25" t="inlineStr">
        <is>
          <t>ORD-11078</t>
        </is>
      </c>
      <c r="B892" s="26" t="n">
        <v>45707</v>
      </c>
      <c r="C892" s="25" t="inlineStr">
        <is>
          <t>South</t>
        </is>
      </c>
      <c r="D892" s="25" t="inlineStr">
        <is>
          <t>Technology</t>
        </is>
      </c>
      <c r="E892" s="25" t="inlineStr">
        <is>
          <t>Wireless Mouse</t>
        </is>
      </c>
      <c r="F892" s="25" t="n">
        <v>3</v>
      </c>
      <c r="G892" s="25" t="n">
        <v>1200</v>
      </c>
      <c r="H892" s="28" t="n">
        <v>0</v>
      </c>
      <c r="I892" s="25" t="n">
        <v>650</v>
      </c>
    </row>
    <row r="893">
      <c r="A893" s="25" t="inlineStr">
        <is>
          <t>ORD-10146</t>
        </is>
      </c>
      <c r="B893" s="26" t="n">
        <v>45671</v>
      </c>
      <c r="C893" s="25" t="inlineStr">
        <is>
          <t>North</t>
        </is>
      </c>
      <c r="D893" s="25" t="inlineStr">
        <is>
          <t>Furniture</t>
        </is>
      </c>
      <c r="E893" s="25" t="inlineStr">
        <is>
          <t>Office Chair</t>
        </is>
      </c>
      <c r="F893" s="25" t="n">
        <v>1</v>
      </c>
      <c r="G893" s="25" t="n">
        <v>8500</v>
      </c>
      <c r="H893" s="28" t="n">
        <v>0.2</v>
      </c>
      <c r="I893" s="25" t="n">
        <v>5600</v>
      </c>
    </row>
    <row r="894">
      <c r="A894" s="25" t="inlineStr">
        <is>
          <t>ORD-10420</t>
        </is>
      </c>
      <c r="B894" s="26" t="n">
        <v>45917</v>
      </c>
      <c r="C894" s="25" t="inlineStr">
        <is>
          <t>South</t>
        </is>
      </c>
      <c r="D894" s="25" t="inlineStr">
        <is>
          <t>Office Supplies</t>
        </is>
      </c>
      <c r="E894" s="25" t="inlineStr">
        <is>
          <t>Printer Paper Box</t>
        </is>
      </c>
      <c r="F894" s="25" t="n">
        <v>5</v>
      </c>
      <c r="G894" s="25" t="n">
        <v>1600</v>
      </c>
      <c r="H894" s="28" t="n">
        <v>0</v>
      </c>
      <c r="I894" s="25" t="n">
        <v>1050</v>
      </c>
    </row>
    <row r="895">
      <c r="A895" s="25" t="inlineStr">
        <is>
          <t>ORD-11039</t>
        </is>
      </c>
      <c r="B895" s="25" t="inlineStr">
        <is>
          <t>25-Apr-2025</t>
        </is>
      </c>
      <c r="C895" s="25" t="inlineStr">
        <is>
          <t>East</t>
        </is>
      </c>
      <c r="D895" s="25" t="inlineStr">
        <is>
          <t>Office Supplies</t>
        </is>
      </c>
      <c r="E895" s="25" t="inlineStr">
        <is>
          <t>Notebook Set</t>
        </is>
      </c>
      <c r="F895" s="25" t="n">
        <v>8</v>
      </c>
      <c r="G895" s="25" t="n">
        <v>450</v>
      </c>
      <c r="H895" s="28" t="n">
        <v>0.1</v>
      </c>
      <c r="I895" s="25" t="n">
        <v>190</v>
      </c>
    </row>
    <row r="896">
      <c r="A896" s="25" t="inlineStr">
        <is>
          <t>ORD-10807</t>
        </is>
      </c>
      <c r="B896" s="26" t="n">
        <v>45871</v>
      </c>
      <c r="C896" s="25" t="inlineStr">
        <is>
          <t>West</t>
        </is>
      </c>
      <c r="D896" s="25" t="inlineStr">
        <is>
          <t>Technology</t>
        </is>
      </c>
      <c r="E896" s="25" t="inlineStr">
        <is>
          <t>Mechanical Keyboard</t>
        </is>
      </c>
      <c r="F896" s="25" t="n">
        <v>2</v>
      </c>
      <c r="G896" s="25" t="n"/>
      <c r="H896" s="28" t="n">
        <v>0</v>
      </c>
      <c r="I896" s="25" t="n">
        <v>2500</v>
      </c>
    </row>
    <row r="897">
      <c r="A897" s="25" t="inlineStr">
        <is>
          <t>ORD-10944</t>
        </is>
      </c>
      <c r="B897" s="25" t="inlineStr">
        <is>
          <t>05-Jan-2025</t>
        </is>
      </c>
      <c r="C897" s="25" t="inlineStr">
        <is>
          <t>North</t>
        </is>
      </c>
      <c r="D897" s="25" t="inlineStr">
        <is>
          <t>Technology</t>
        </is>
      </c>
      <c r="E897" s="25" t="inlineStr">
        <is>
          <t>Wireless Mouse</t>
        </is>
      </c>
      <c r="F897" s="25" t="n">
        <v>2</v>
      </c>
      <c r="G897" s="25" t="n">
        <v>1200</v>
      </c>
      <c r="H897" s="28" t="n">
        <v>0</v>
      </c>
      <c r="I897" s="25" t="n">
        <v>650</v>
      </c>
    </row>
    <row r="898">
      <c r="A898" s="25" t="inlineStr">
        <is>
          <t>ORD-11174</t>
        </is>
      </c>
      <c r="B898" s="26" t="n">
        <v>45955</v>
      </c>
      <c r="C898" s="25" t="inlineStr">
        <is>
          <t>South</t>
        </is>
      </c>
      <c r="D898" s="25" t="inlineStr">
        <is>
          <t>Technology</t>
        </is>
      </c>
      <c r="E898" s="25" t="inlineStr">
        <is>
          <t>Monitor 24"</t>
        </is>
      </c>
      <c r="F898" s="25" t="n">
        <v>2</v>
      </c>
      <c r="G898" s="25" t="n">
        <v>11500</v>
      </c>
      <c r="H898" s="28" t="n">
        <v>0.15</v>
      </c>
      <c r="I898" s="25" t="n">
        <v>8200</v>
      </c>
    </row>
    <row r="899">
      <c r="A899" s="25" t="inlineStr">
        <is>
          <t>ORD-10588</t>
        </is>
      </c>
      <c r="B899" s="25" t="inlineStr">
        <is>
          <t>22-Sep-2025</t>
        </is>
      </c>
      <c r="C899" s="25" t="inlineStr">
        <is>
          <t>West</t>
        </is>
      </c>
      <c r="D899" s="25" t="inlineStr">
        <is>
          <t>Office Supplies</t>
        </is>
      </c>
      <c r="E899" s="25" t="inlineStr">
        <is>
          <t>Notebook Set</t>
        </is>
      </c>
      <c r="F899" s="25" t="n">
        <v>1</v>
      </c>
      <c r="G899" s="25" t="n">
        <v>450</v>
      </c>
      <c r="H899" s="28" t="n">
        <v>0</v>
      </c>
      <c r="I899" s="25" t="n">
        <v>190</v>
      </c>
    </row>
    <row r="900">
      <c r="A900" s="25" t="inlineStr">
        <is>
          <t>ORD-10517</t>
        </is>
      </c>
      <c r="B900" s="26" t="n">
        <v>45770</v>
      </c>
      <c r="C900" s="25" t="inlineStr">
        <is>
          <t>South</t>
        </is>
      </c>
      <c r="D900" s="25" t="inlineStr">
        <is>
          <t>Furniture</t>
        </is>
      </c>
      <c r="E900" s="25" t="inlineStr">
        <is>
          <t>Bookshelf</t>
        </is>
      </c>
      <c r="F900" s="25" t="n">
        <v>1</v>
      </c>
      <c r="G900" s="25" t="n">
        <v>6200</v>
      </c>
      <c r="H900" s="28" t="n">
        <v>0.15</v>
      </c>
      <c r="I900" s="25" t="n">
        <v>4100</v>
      </c>
    </row>
    <row r="901">
      <c r="A901" s="25" t="inlineStr">
        <is>
          <t>ORD-10924</t>
        </is>
      </c>
      <c r="B901" s="26" t="n">
        <v>45725</v>
      </c>
      <c r="C901" s="25" t="inlineStr">
        <is>
          <t>South</t>
        </is>
      </c>
      <c r="D901" s="25" t="inlineStr">
        <is>
          <t>Technology</t>
        </is>
      </c>
      <c r="E901" s="25" t="inlineStr">
        <is>
          <t>Wireless Mouse</t>
        </is>
      </c>
      <c r="F901" s="25" t="n">
        <v>3</v>
      </c>
      <c r="G901" s="25" t="n">
        <v>1200</v>
      </c>
      <c r="H901" s="28" t="n">
        <v>0</v>
      </c>
      <c r="I901" s="25" t="n">
        <v>650</v>
      </c>
    </row>
    <row r="902">
      <c r="A902" s="25" t="inlineStr">
        <is>
          <t>ORD-10231</t>
        </is>
      </c>
      <c r="B902" s="26" t="n">
        <v>45698</v>
      </c>
      <c r="C902" s="25" t="inlineStr">
        <is>
          <t>south</t>
        </is>
      </c>
      <c r="D902" s="25" t="inlineStr">
        <is>
          <t>Office Supplies</t>
        </is>
      </c>
      <c r="E902" s="25" t="inlineStr">
        <is>
          <t>Printer Paper Box</t>
        </is>
      </c>
      <c r="F902" s="25" t="n">
        <v>5</v>
      </c>
      <c r="G902" s="25" t="n">
        <v>1600</v>
      </c>
      <c r="H902" s="28" t="n">
        <v>0.05</v>
      </c>
      <c r="I902" s="25" t="n">
        <v>1050</v>
      </c>
    </row>
    <row r="903">
      <c r="A903" s="25" t="inlineStr">
        <is>
          <t>ORD-10219</t>
        </is>
      </c>
      <c r="B903" s="26" t="n">
        <v>45711</v>
      </c>
      <c r="C903" s="25" t="inlineStr">
        <is>
          <t>East</t>
        </is>
      </c>
      <c r="D903" s="25" t="inlineStr">
        <is>
          <t>Accessories</t>
        </is>
      </c>
      <c r="E903" s="25" t="inlineStr">
        <is>
          <t>USB-C Hub</t>
        </is>
      </c>
      <c r="F903" s="25" t="n">
        <v>4</v>
      </c>
      <c r="G903" s="25" t="n">
        <v>1800</v>
      </c>
      <c r="H903" s="28" t="n">
        <v>0.05</v>
      </c>
      <c r="I903" s="25" t="n">
        <v>980</v>
      </c>
    </row>
    <row r="904">
      <c r="A904" s="25" t="inlineStr">
        <is>
          <t>ORD-11047</t>
        </is>
      </c>
      <c r="B904" s="26" t="n">
        <v>45761</v>
      </c>
      <c r="C904" s="25" t="inlineStr">
        <is>
          <t>West</t>
        </is>
      </c>
      <c r="D904" s="25" t="inlineStr">
        <is>
          <t>Office Supplies</t>
        </is>
      </c>
      <c r="E904" s="25" t="inlineStr">
        <is>
          <t>Notebook Set</t>
        </is>
      </c>
      <c r="F904" s="25" t="n">
        <v>1</v>
      </c>
      <c r="G904" s="25" t="n">
        <v>450</v>
      </c>
      <c r="H904" s="28" t="n">
        <v>0</v>
      </c>
      <c r="I904" s="25" t="n">
        <v>190</v>
      </c>
    </row>
    <row r="905">
      <c r="A905" s="25" t="inlineStr">
        <is>
          <t>ORD-10576</t>
        </is>
      </c>
      <c r="B905" s="26" t="n">
        <v>45948</v>
      </c>
      <c r="C905" s="25" t="inlineStr">
        <is>
          <t>west</t>
        </is>
      </c>
      <c r="D905" s="25" t="inlineStr">
        <is>
          <t>Accessories</t>
        </is>
      </c>
      <c r="E905" s="25" t="inlineStr">
        <is>
          <t>USB-C Hub</t>
        </is>
      </c>
      <c r="F905" s="25" t="n">
        <v>1</v>
      </c>
      <c r="G905" s="25" t="n">
        <v>1800</v>
      </c>
      <c r="H905" s="28" t="n">
        <v>0</v>
      </c>
      <c r="I905" s="25" t="n">
        <v>980</v>
      </c>
    </row>
    <row r="906">
      <c r="A906" s="25" t="inlineStr">
        <is>
          <t>ORD-10570</t>
        </is>
      </c>
      <c r="B906" s="26" t="n">
        <v>45854</v>
      </c>
      <c r="C906" s="25" t="inlineStr">
        <is>
          <t>West</t>
        </is>
      </c>
      <c r="D906" s="25" t="inlineStr">
        <is>
          <t>Office Supplies</t>
        </is>
      </c>
      <c r="E906" s="25" t="inlineStr">
        <is>
          <t>Printer Paper Box</t>
        </is>
      </c>
      <c r="F906" s="25" t="n">
        <v>1</v>
      </c>
      <c r="G906" s="25" t="n">
        <v>1600</v>
      </c>
      <c r="H906" s="28" t="n">
        <v>0.2</v>
      </c>
      <c r="I906" s="25" t="n">
        <v>1050</v>
      </c>
    </row>
    <row r="907">
      <c r="A907" s="25" t="inlineStr">
        <is>
          <t>ORD-10190</t>
        </is>
      </c>
      <c r="B907" s="25" t="inlineStr">
        <is>
          <t>19-Nov-2025</t>
        </is>
      </c>
      <c r="C907" s="25" t="inlineStr">
        <is>
          <t>South</t>
        </is>
      </c>
      <c r="D907" s="25" t="inlineStr">
        <is>
          <t>Technology</t>
        </is>
      </c>
      <c r="E907" s="25" t="inlineStr">
        <is>
          <t>Mechanical Keyboard</t>
        </is>
      </c>
      <c r="F907" s="25" t="n">
        <v>2</v>
      </c>
      <c r="G907" s="25" t="n">
        <v>4200</v>
      </c>
      <c r="H907" s="28" t="n">
        <v>0.2</v>
      </c>
      <c r="I907" s="25" t="n">
        <v>2500</v>
      </c>
    </row>
    <row r="908">
      <c r="A908" s="25" t="inlineStr">
        <is>
          <t>ORD-10881</t>
        </is>
      </c>
      <c r="B908" s="25" t="inlineStr">
        <is>
          <t>12-Jul-2025</t>
        </is>
      </c>
      <c r="C908" s="25" t="inlineStr">
        <is>
          <t>West</t>
        </is>
      </c>
      <c r="D908" s="25" t="inlineStr">
        <is>
          <t>Accessories</t>
        </is>
      </c>
      <c r="E908" s="25" t="inlineStr">
        <is>
          <t>USB-C Hub</t>
        </is>
      </c>
      <c r="F908" s="25" t="n">
        <v>3</v>
      </c>
      <c r="G908" s="25" t="n">
        <v>1800</v>
      </c>
      <c r="H908" s="28" t="n">
        <v>0</v>
      </c>
      <c r="I908" s="25" t="n">
        <v>980</v>
      </c>
    </row>
    <row r="909">
      <c r="A909" s="25" t="inlineStr">
        <is>
          <t>ORD-10066</t>
        </is>
      </c>
      <c r="B909" s="25" t="inlineStr">
        <is>
          <t>18-Jun-2025</t>
        </is>
      </c>
      <c r="C909" s="25" t="inlineStr">
        <is>
          <t>North</t>
        </is>
      </c>
      <c r="D909" s="25" t="inlineStr">
        <is>
          <t>Technology</t>
        </is>
      </c>
      <c r="E909" s="25" t="inlineStr">
        <is>
          <t>Wireless Mouse</t>
        </is>
      </c>
      <c r="F909" s="25" t="n">
        <v>1</v>
      </c>
      <c r="G909" s="25" t="n">
        <v>1200</v>
      </c>
      <c r="H909" s="28" t="n">
        <v>0.1</v>
      </c>
      <c r="I909" s="25" t="n">
        <v>650</v>
      </c>
    </row>
    <row r="910">
      <c r="A910" s="25" t="inlineStr">
        <is>
          <t>ORD-10748</t>
        </is>
      </c>
      <c r="B910" s="25" t="inlineStr">
        <is>
          <t>16-Sep-2025</t>
        </is>
      </c>
      <c r="C910" s="25" t="inlineStr">
        <is>
          <t>west</t>
        </is>
      </c>
      <c r="D910" s="25" t="inlineStr">
        <is>
          <t>Office Supplies</t>
        </is>
      </c>
      <c r="E910" s="25" t="inlineStr">
        <is>
          <t>Desk Organizer</t>
        </is>
      </c>
      <c r="F910" s="25" t="n">
        <v>3</v>
      </c>
      <c r="G910" s="25" t="n">
        <v>850</v>
      </c>
      <c r="H910" s="28" t="n">
        <v>0.1</v>
      </c>
      <c r="I910" s="25" t="n">
        <v>420</v>
      </c>
    </row>
    <row r="911">
      <c r="A911" s="25" t="inlineStr">
        <is>
          <t>ORD-10508</t>
        </is>
      </c>
      <c r="B911" s="26" t="n">
        <v>45950</v>
      </c>
      <c r="C911" s="25" t="inlineStr">
        <is>
          <t>East</t>
        </is>
      </c>
      <c r="D911" s="25" t="inlineStr">
        <is>
          <t>Accessories</t>
        </is>
      </c>
      <c r="E911" s="25" t="inlineStr">
        <is>
          <t>Headphones</t>
        </is>
      </c>
      <c r="F911" s="25" t="n">
        <v>3</v>
      </c>
      <c r="G911" s="25" t="n">
        <v>4500</v>
      </c>
      <c r="H911" s="28" t="n">
        <v>0.05</v>
      </c>
      <c r="I911" s="25" t="n">
        <v>2600</v>
      </c>
    </row>
    <row r="912">
      <c r="A912" s="25" t="inlineStr">
        <is>
          <t>ORD-10884</t>
        </is>
      </c>
      <c r="B912" s="26" t="n">
        <v>45942</v>
      </c>
      <c r="C912" s="25" t="inlineStr">
        <is>
          <t>WEST</t>
        </is>
      </c>
      <c r="D912" s="25" t="inlineStr">
        <is>
          <t>Office Supplies</t>
        </is>
      </c>
      <c r="E912" s="25" t="inlineStr">
        <is>
          <t>Notebook Set</t>
        </is>
      </c>
      <c r="F912" s="25" t="n">
        <v>7</v>
      </c>
      <c r="G912" s="25" t="n"/>
      <c r="H912" s="28" t="n">
        <v>0</v>
      </c>
      <c r="I912" s="25" t="n">
        <v>190</v>
      </c>
    </row>
    <row r="913">
      <c r="A913" s="25" t="inlineStr">
        <is>
          <t>ORD-10256</t>
        </is>
      </c>
      <c r="B913" s="25" t="inlineStr">
        <is>
          <t>05-Sep-2025</t>
        </is>
      </c>
      <c r="C913" s="25" t="inlineStr">
        <is>
          <t>East</t>
        </is>
      </c>
      <c r="D913" s="25" t="inlineStr">
        <is>
          <t>Office Supplies</t>
        </is>
      </c>
      <c r="E913" s="25" t="inlineStr">
        <is>
          <t>Notebook Set</t>
        </is>
      </c>
      <c r="F913" s="25" t="n">
        <v>4</v>
      </c>
      <c r="G913" s="25" t="n">
        <v>450</v>
      </c>
      <c r="H913" s="28" t="n">
        <v>0.15</v>
      </c>
      <c r="I913" s="25" t="n">
        <v>190</v>
      </c>
    </row>
    <row r="914">
      <c r="A914" s="25" t="inlineStr">
        <is>
          <t>ORD-10661</t>
        </is>
      </c>
      <c r="B914" s="26" t="n">
        <v>45759</v>
      </c>
      <c r="C914" s="25" t="inlineStr">
        <is>
          <t>East</t>
        </is>
      </c>
      <c r="D914" s="25" t="inlineStr">
        <is>
          <t>Technology</t>
        </is>
      </c>
      <c r="E914" s="25" t="inlineStr">
        <is>
          <t>Wireless Mouse</t>
        </is>
      </c>
      <c r="F914" s="25" t="n">
        <v>5</v>
      </c>
      <c r="G914" s="25" t="n">
        <v>1200</v>
      </c>
      <c r="H914" s="28" t="n">
        <v>0</v>
      </c>
      <c r="I914" s="25" t="n">
        <v>650</v>
      </c>
    </row>
    <row r="915">
      <c r="A915" s="25" t="inlineStr">
        <is>
          <t>ORD-10583</t>
        </is>
      </c>
      <c r="B915" s="25" t="inlineStr">
        <is>
          <t>15-Mar-2025</t>
        </is>
      </c>
      <c r="C915" s="25" t="inlineStr">
        <is>
          <t>West</t>
        </is>
      </c>
      <c r="D915" s="25" t="inlineStr">
        <is>
          <t>Accessories</t>
        </is>
      </c>
      <c r="E915" s="25" t="inlineStr">
        <is>
          <t>USB-C Hub</t>
        </is>
      </c>
      <c r="F915" s="25" t="n">
        <v>4</v>
      </c>
      <c r="G915" s="25" t="n">
        <v>1800</v>
      </c>
      <c r="H915" s="28" t="n">
        <v>0.15</v>
      </c>
      <c r="I915" s="25" t="n">
        <v>980</v>
      </c>
    </row>
    <row r="916">
      <c r="A916" s="25" t="inlineStr">
        <is>
          <t>ORD-10176</t>
        </is>
      </c>
      <c r="B916" s="26" t="n">
        <v>45890</v>
      </c>
      <c r="C916" s="25" t="inlineStr">
        <is>
          <t>South</t>
        </is>
      </c>
      <c r="D916" s="25" t="inlineStr">
        <is>
          <t>Accessories</t>
        </is>
      </c>
      <c r="E916" s="25" t="inlineStr">
        <is>
          <t>Webcam</t>
        </is>
      </c>
      <c r="F916" s="25" t="n">
        <v>3</v>
      </c>
      <c r="G916" s="25" t="n">
        <v>3200</v>
      </c>
      <c r="H916" s="28" t="n">
        <v>0.2</v>
      </c>
      <c r="I916" s="25" t="n">
        <v>1900</v>
      </c>
    </row>
    <row r="917">
      <c r="A917" s="25" t="inlineStr">
        <is>
          <t>ORD-10552</t>
        </is>
      </c>
      <c r="B917" s="26" t="n">
        <v>46019</v>
      </c>
      <c r="C917" s="25" t="inlineStr">
        <is>
          <t>West</t>
        </is>
      </c>
      <c r="D917" s="25" t="inlineStr">
        <is>
          <t>Accessories</t>
        </is>
      </c>
      <c r="E917" s="25" t="inlineStr">
        <is>
          <t>Headphones</t>
        </is>
      </c>
      <c r="F917" s="25" t="n">
        <v>3</v>
      </c>
      <c r="G917" s="25" t="n">
        <v>4500</v>
      </c>
      <c r="H917" s="28" t="n">
        <v>0.15</v>
      </c>
      <c r="I917" s="25" t="n">
        <v>2600</v>
      </c>
    </row>
    <row r="918">
      <c r="A918" s="25" t="inlineStr">
        <is>
          <t>ORD-10215</t>
        </is>
      </c>
      <c r="B918" s="26" t="n">
        <v>45814</v>
      </c>
      <c r="C918" s="25" t="inlineStr">
        <is>
          <t>West</t>
        </is>
      </c>
      <c r="D918" s="25" t="inlineStr">
        <is>
          <t>Furniture</t>
        </is>
      </c>
      <c r="E918" s="25" t="inlineStr">
        <is>
          <t>Bookshelf</t>
        </is>
      </c>
      <c r="F918" s="25" t="n">
        <v>2</v>
      </c>
      <c r="G918" s="25" t="n">
        <v>6200</v>
      </c>
      <c r="H918" s="28" t="n">
        <v>0.2</v>
      </c>
      <c r="I918" s="25" t="n">
        <v>4100</v>
      </c>
    </row>
    <row r="919">
      <c r="A919" s="25" t="inlineStr">
        <is>
          <t>ORD-10335</t>
        </is>
      </c>
      <c r="B919" s="26" t="n">
        <v>45722</v>
      </c>
      <c r="C919" s="25" t="inlineStr">
        <is>
          <t>North</t>
        </is>
      </c>
      <c r="D919" s="25" t="inlineStr">
        <is>
          <t>Technology</t>
        </is>
      </c>
      <c r="E919" s="25" t="inlineStr">
        <is>
          <t>Mechanical Keyboard</t>
        </is>
      </c>
      <c r="F919" s="25" t="n">
        <v>1</v>
      </c>
      <c r="G919" s="25" t="n">
        <v>4200</v>
      </c>
      <c r="H919" s="28" t="n">
        <v>0.15</v>
      </c>
      <c r="I919" s="25" t="n">
        <v>2500</v>
      </c>
    </row>
    <row r="920">
      <c r="A920" s="25" t="inlineStr">
        <is>
          <t>ORD-10178</t>
        </is>
      </c>
      <c r="B920" s="26" t="n">
        <v>45711</v>
      </c>
      <c r="C920" s="25" t="inlineStr">
        <is>
          <t>East</t>
        </is>
      </c>
      <c r="D920" s="25" t="inlineStr">
        <is>
          <t>Office Supplies</t>
        </is>
      </c>
      <c r="E920" s="25" t="inlineStr">
        <is>
          <t>Printer Paper Box</t>
        </is>
      </c>
      <c r="F920" s="25" t="n">
        <v>2</v>
      </c>
      <c r="G920" s="25" t="n">
        <v>1600</v>
      </c>
      <c r="H920" s="28" t="n">
        <v>0.05</v>
      </c>
      <c r="I920" s="25" t="n">
        <v>1050</v>
      </c>
    </row>
    <row r="921">
      <c r="A921" s="25" t="inlineStr">
        <is>
          <t>ORD-10082</t>
        </is>
      </c>
      <c r="B921" s="25" t="inlineStr">
        <is>
          <t>20-Sep-2025</t>
        </is>
      </c>
      <c r="C921" s="25" t="inlineStr">
        <is>
          <t>North</t>
        </is>
      </c>
      <c r="D921" s="25" t="inlineStr">
        <is>
          <t>Office Supplies</t>
        </is>
      </c>
      <c r="E921" s="25" t="inlineStr">
        <is>
          <t>Notebook Set</t>
        </is>
      </c>
      <c r="F921" s="25" t="n">
        <v>4</v>
      </c>
      <c r="G921" s="25" t="n">
        <v>450</v>
      </c>
      <c r="H921" s="28" t="n">
        <v>0.1</v>
      </c>
      <c r="I921" s="25" t="n">
        <v>190</v>
      </c>
    </row>
    <row r="922">
      <c r="A922" s="25" t="inlineStr">
        <is>
          <t>ORD-10290</t>
        </is>
      </c>
      <c r="B922" s="26" t="n">
        <v>45874</v>
      </c>
      <c r="C922" s="25" t="inlineStr">
        <is>
          <t>South</t>
        </is>
      </c>
      <c r="D922" s="25" t="inlineStr">
        <is>
          <t>Technology</t>
        </is>
      </c>
      <c r="E922" s="25" t="inlineStr">
        <is>
          <t>Mechanical Keyboard</t>
        </is>
      </c>
      <c r="F922" s="25" t="n">
        <v>2</v>
      </c>
      <c r="G922" s="25" t="n">
        <v>4200</v>
      </c>
      <c r="H922" s="28" t="n">
        <v>0.2</v>
      </c>
      <c r="I922" s="25" t="n">
        <v>2500</v>
      </c>
    </row>
    <row r="923">
      <c r="A923" s="25" t="inlineStr">
        <is>
          <t>ORD-10967</t>
        </is>
      </c>
      <c r="B923" s="26" t="n">
        <v>45876</v>
      </c>
      <c r="C923" s="25" t="inlineStr">
        <is>
          <t>West</t>
        </is>
      </c>
      <c r="D923" s="25" t="inlineStr">
        <is>
          <t>Office Supplies</t>
        </is>
      </c>
      <c r="E923" s="25" t="inlineStr">
        <is>
          <t>Printer Paper Box</t>
        </is>
      </c>
      <c r="F923" s="25" t="n">
        <v>5</v>
      </c>
      <c r="G923" s="25" t="n">
        <v>1600</v>
      </c>
      <c r="H923" s="28" t="n">
        <v>0</v>
      </c>
      <c r="I923" s="25" t="n">
        <v>1050</v>
      </c>
    </row>
    <row r="924">
      <c r="A924" s="25" t="inlineStr">
        <is>
          <t>ORD-10374</t>
        </is>
      </c>
      <c r="B924" s="26" t="n">
        <v>45824</v>
      </c>
      <c r="C924" s="25" t="inlineStr">
        <is>
          <t>West</t>
        </is>
      </c>
      <c r="D924" s="25" t="inlineStr">
        <is>
          <t>Office Supplies</t>
        </is>
      </c>
      <c r="E924" s="25" t="inlineStr">
        <is>
          <t>Printer Paper Box</t>
        </is>
      </c>
      <c r="F924" s="25" t="n">
        <v>5</v>
      </c>
      <c r="G924" s="25" t="n">
        <v>1600</v>
      </c>
      <c r="H924" s="28" t="n">
        <v>0</v>
      </c>
      <c r="I924" s="25" t="n">
        <v>1050</v>
      </c>
    </row>
    <row r="925">
      <c r="A925" s="25" t="inlineStr">
        <is>
          <t>ORD-10728</t>
        </is>
      </c>
      <c r="B925" s="26" t="n">
        <v>45659</v>
      </c>
      <c r="C925" s="25" t="inlineStr">
        <is>
          <t>South</t>
        </is>
      </c>
      <c r="D925" s="25" t="inlineStr">
        <is>
          <t>Accessories</t>
        </is>
      </c>
      <c r="E925" s="25" t="inlineStr">
        <is>
          <t>Headphones</t>
        </is>
      </c>
      <c r="F925" s="25" t="n">
        <v>2</v>
      </c>
      <c r="G925" s="25" t="n">
        <v>4500</v>
      </c>
      <c r="H925" s="28" t="n">
        <v>0.05</v>
      </c>
      <c r="I925" s="25" t="n">
        <v>2600</v>
      </c>
    </row>
    <row r="926">
      <c r="A926" s="25" t="inlineStr">
        <is>
          <t>ORD-10527</t>
        </is>
      </c>
      <c r="B926" s="26" t="n">
        <v>46013</v>
      </c>
      <c r="C926" s="25" t="inlineStr">
        <is>
          <t>West</t>
        </is>
      </c>
      <c r="D926" s="25" t="inlineStr">
        <is>
          <t>Accessories</t>
        </is>
      </c>
      <c r="E926" s="25" t="inlineStr">
        <is>
          <t>USB-C Hub</t>
        </is>
      </c>
      <c r="F926" s="25" t="n">
        <v>4</v>
      </c>
      <c r="G926" s="25" t="n">
        <v>1800</v>
      </c>
      <c r="H926" s="28" t="n">
        <v>0.15</v>
      </c>
      <c r="I926" s="25" t="n">
        <v>980</v>
      </c>
    </row>
    <row r="927">
      <c r="A927" s="25" t="inlineStr">
        <is>
          <t>ORD-10253</t>
        </is>
      </c>
      <c r="B927" s="26" t="n">
        <v>45934</v>
      </c>
      <c r="C927" s="25" t="inlineStr">
        <is>
          <t>North</t>
        </is>
      </c>
      <c r="D927" s="25" t="inlineStr">
        <is>
          <t>Technology</t>
        </is>
      </c>
      <c r="E927" s="25" t="inlineStr">
        <is>
          <t>Wireless Mouse</t>
        </is>
      </c>
      <c r="F927" s="25" t="n">
        <v>1</v>
      </c>
      <c r="G927" s="25" t="n">
        <v>1200</v>
      </c>
      <c r="H927" s="28" t="n">
        <v>0.2</v>
      </c>
      <c r="I927" s="25" t="n">
        <v>650</v>
      </c>
    </row>
    <row r="928">
      <c r="A928" s="25" t="inlineStr">
        <is>
          <t>ORD-10587</t>
        </is>
      </c>
      <c r="B928" s="26" t="n">
        <v>45903</v>
      </c>
      <c r="C928" s="25" t="inlineStr">
        <is>
          <t>South</t>
        </is>
      </c>
      <c r="D928" s="25" t="inlineStr">
        <is>
          <t>Technology</t>
        </is>
      </c>
      <c r="E928" s="25" t="inlineStr">
        <is>
          <t>Mechanical Keyboard</t>
        </is>
      </c>
      <c r="F928" s="25" t="n">
        <v>1</v>
      </c>
      <c r="G928" s="25" t="n">
        <v>4200</v>
      </c>
      <c r="H928" s="28" t="n">
        <v>0</v>
      </c>
      <c r="I928" s="25" t="n">
        <v>2500</v>
      </c>
    </row>
    <row r="929">
      <c r="A929" s="25" t="inlineStr">
        <is>
          <t>ORD-11057</t>
        </is>
      </c>
      <c r="B929" s="26" t="n">
        <v>45736</v>
      </c>
      <c r="C929" s="25" t="inlineStr">
        <is>
          <t>East</t>
        </is>
      </c>
      <c r="D929" s="25" t="inlineStr">
        <is>
          <t>Accessories</t>
        </is>
      </c>
      <c r="E929" s="25" t="inlineStr">
        <is>
          <t>Webcam</t>
        </is>
      </c>
      <c r="F929" s="25" t="n">
        <v>3</v>
      </c>
      <c r="G929" s="25" t="n">
        <v>3200</v>
      </c>
      <c r="H929" s="28" t="n">
        <v>0.05</v>
      </c>
      <c r="I929" s="25" t="n">
        <v>1900</v>
      </c>
    </row>
    <row r="930">
      <c r="A930" s="25" t="inlineStr">
        <is>
          <t>ORD-11143</t>
        </is>
      </c>
      <c r="B930" s="26" t="n">
        <v>45718</v>
      </c>
      <c r="C930" s="25" t="inlineStr">
        <is>
          <t>North</t>
        </is>
      </c>
      <c r="D930" s="25" t="inlineStr">
        <is>
          <t>Technology</t>
        </is>
      </c>
      <c r="E930" s="25" t="inlineStr">
        <is>
          <t>Mechanical Keyboard</t>
        </is>
      </c>
      <c r="F930" s="25" t="n">
        <v>1</v>
      </c>
      <c r="G930" s="25" t="n">
        <v>4200</v>
      </c>
      <c r="H930" s="28" t="n">
        <v>0.2</v>
      </c>
      <c r="I930" s="25" t="n">
        <v>2500</v>
      </c>
    </row>
    <row r="931">
      <c r="A931" s="25" t="inlineStr">
        <is>
          <t>ORD-11093</t>
        </is>
      </c>
      <c r="B931" s="25" t="inlineStr">
        <is>
          <t>17-Sep-2025</t>
        </is>
      </c>
      <c r="C931" s="25" t="inlineStr">
        <is>
          <t>North</t>
        </is>
      </c>
      <c r="D931" s="25" t="inlineStr">
        <is>
          <t>Accessories</t>
        </is>
      </c>
      <c r="E931" s="25" t="inlineStr">
        <is>
          <t>Headphones</t>
        </is>
      </c>
      <c r="F931" s="25" t="n">
        <v>2</v>
      </c>
      <c r="G931" s="25" t="n">
        <v>4500</v>
      </c>
      <c r="H931" s="28" t="n">
        <v>0.2</v>
      </c>
      <c r="I931" s="25" t="n">
        <v>2600</v>
      </c>
    </row>
    <row r="932">
      <c r="A932" s="25" t="inlineStr">
        <is>
          <t>ORD-10961</t>
        </is>
      </c>
      <c r="B932" s="26" t="n">
        <v>45935</v>
      </c>
      <c r="C932" s="25" t="inlineStr">
        <is>
          <t>West</t>
        </is>
      </c>
      <c r="D932" s="25" t="inlineStr">
        <is>
          <t>Furniture</t>
        </is>
      </c>
      <c r="E932" s="25" t="inlineStr">
        <is>
          <t>Office Chair</t>
        </is>
      </c>
      <c r="F932" s="25" t="n">
        <v>2</v>
      </c>
      <c r="G932" s="25" t="n">
        <v>8500</v>
      </c>
      <c r="H932" s="28" t="n">
        <v>0</v>
      </c>
      <c r="I932" s="25" t="n">
        <v>5600</v>
      </c>
    </row>
    <row r="933">
      <c r="A933" s="25" t="inlineStr">
        <is>
          <t>ORD-10485</t>
        </is>
      </c>
      <c r="B933" s="25" t="inlineStr">
        <is>
          <t>28-Aug-2025</t>
        </is>
      </c>
      <c r="C933" s="25" t="inlineStr">
        <is>
          <t>North</t>
        </is>
      </c>
      <c r="D933" s="25" t="inlineStr">
        <is>
          <t>Office Supplies</t>
        </is>
      </c>
      <c r="E933" s="25" t="inlineStr">
        <is>
          <t>Notebook Set</t>
        </is>
      </c>
      <c r="F933" s="25" t="n">
        <v>6</v>
      </c>
      <c r="G933" s="25" t="n">
        <v>450</v>
      </c>
      <c r="H933" s="28" t="n">
        <v>0.15</v>
      </c>
      <c r="I933" s="25" t="n">
        <v>190</v>
      </c>
    </row>
    <row r="934">
      <c r="A934" s="25" t="inlineStr">
        <is>
          <t>ORD-10236</t>
        </is>
      </c>
      <c r="B934" s="26" t="n">
        <v>45674</v>
      </c>
      <c r="C934" s="25" t="inlineStr">
        <is>
          <t>SOUTH</t>
        </is>
      </c>
      <c r="D934" s="25" t="inlineStr">
        <is>
          <t>Accessories</t>
        </is>
      </c>
      <c r="E934" s="25" t="inlineStr">
        <is>
          <t>Headphones</t>
        </is>
      </c>
      <c r="F934" s="25" t="n">
        <v>2</v>
      </c>
      <c r="G934" s="25" t="n">
        <v>4500</v>
      </c>
      <c r="H934" s="28" t="n">
        <v>0</v>
      </c>
      <c r="I934" s="25" t="n">
        <v>2600</v>
      </c>
    </row>
    <row r="935">
      <c r="A935" s="25" t="inlineStr">
        <is>
          <t>ORD-10411</t>
        </is>
      </c>
      <c r="B935" s="26" t="n">
        <v>45977</v>
      </c>
      <c r="C935" s="25" t="inlineStr">
        <is>
          <t>West</t>
        </is>
      </c>
      <c r="D935" s="25" t="inlineStr">
        <is>
          <t>Furniture</t>
        </is>
      </c>
      <c r="E935" s="25" t="inlineStr">
        <is>
          <t>Office Chair</t>
        </is>
      </c>
      <c r="F935" s="25" t="n">
        <v>2</v>
      </c>
      <c r="G935" s="25" t="n">
        <v>8500</v>
      </c>
      <c r="H935" s="28" t="n">
        <v>0</v>
      </c>
      <c r="I935" s="25" t="n">
        <v>5600</v>
      </c>
    </row>
    <row r="936">
      <c r="A936" s="25" t="inlineStr">
        <is>
          <t>ORD-10172</t>
        </is>
      </c>
      <c r="B936" s="26" t="n">
        <v>45728</v>
      </c>
      <c r="C936" s="25" t="inlineStr">
        <is>
          <t>South</t>
        </is>
      </c>
      <c r="D936" s="25" t="inlineStr">
        <is>
          <t>Office Supplies</t>
        </is>
      </c>
      <c r="E936" s="25" t="inlineStr">
        <is>
          <t>Notebook Set</t>
        </is>
      </c>
      <c r="F936" s="25" t="n">
        <v>5</v>
      </c>
      <c r="G936" s="25" t="n">
        <v>450</v>
      </c>
      <c r="H936" s="28" t="n">
        <v>0.1</v>
      </c>
      <c r="I936" s="25" t="n">
        <v>190</v>
      </c>
    </row>
    <row r="937">
      <c r="A937" s="25" t="inlineStr">
        <is>
          <t>ORD-10842</t>
        </is>
      </c>
      <c r="B937" s="26" t="n">
        <v>45914</v>
      </c>
      <c r="C937" s="25" t="inlineStr">
        <is>
          <t>North</t>
        </is>
      </c>
      <c r="D937" s="25" t="inlineStr">
        <is>
          <t>Accessories</t>
        </is>
      </c>
      <c r="E937" s="25" t="inlineStr">
        <is>
          <t>USB-C Hub</t>
        </is>
      </c>
      <c r="F937" s="25" t="n">
        <v>4</v>
      </c>
      <c r="G937" s="25" t="n">
        <v>1800</v>
      </c>
      <c r="H937" s="28" t="n">
        <v>0.2</v>
      </c>
      <c r="I937" s="25" t="n">
        <v>980</v>
      </c>
    </row>
    <row r="938">
      <c r="A938" s="25" t="inlineStr">
        <is>
          <t>ORD-10821</t>
        </is>
      </c>
      <c r="B938" s="26" t="n">
        <v>45888</v>
      </c>
      <c r="C938" s="25" t="inlineStr">
        <is>
          <t>East</t>
        </is>
      </c>
      <c r="D938" s="25" t="inlineStr">
        <is>
          <t>Accessories</t>
        </is>
      </c>
      <c r="E938" s="25" t="inlineStr">
        <is>
          <t>USB-C Hub</t>
        </is>
      </c>
      <c r="F938" s="25" t="n">
        <v>1</v>
      </c>
      <c r="G938" s="25" t="n">
        <v>1800</v>
      </c>
      <c r="H938" s="28" t="n">
        <v>0.15</v>
      </c>
      <c r="I938" s="25" t="n">
        <v>980</v>
      </c>
    </row>
    <row r="939">
      <c r="A939" s="25" t="inlineStr">
        <is>
          <t>ORD-10020</t>
        </is>
      </c>
      <c r="B939" s="25" t="inlineStr">
        <is>
          <t>21-Oct-2025</t>
        </is>
      </c>
      <c r="C939" s="25" t="inlineStr">
        <is>
          <t>West</t>
        </is>
      </c>
      <c r="D939" s="25" t="inlineStr">
        <is>
          <t>Office Supplies</t>
        </is>
      </c>
      <c r="E939" s="25" t="inlineStr">
        <is>
          <t>Notebook Set</t>
        </is>
      </c>
      <c r="F939" s="25" t="n">
        <v>4</v>
      </c>
      <c r="G939" s="25" t="n">
        <v>450</v>
      </c>
      <c r="H939" s="28" t="n">
        <v>0.1</v>
      </c>
      <c r="I939" s="25" t="n">
        <v>190</v>
      </c>
    </row>
    <row r="940">
      <c r="A940" s="25" t="inlineStr">
        <is>
          <t>ORD-10237</t>
        </is>
      </c>
      <c r="B940" s="25" t="inlineStr">
        <is>
          <t>10-Jan-2025</t>
        </is>
      </c>
      <c r="C940" s="25" t="inlineStr">
        <is>
          <t>West</t>
        </is>
      </c>
      <c r="D940" s="25" t="inlineStr">
        <is>
          <t>Accessories</t>
        </is>
      </c>
      <c r="E940" s="25" t="inlineStr">
        <is>
          <t>Webcam</t>
        </is>
      </c>
      <c r="F940" s="25" t="n">
        <v>3</v>
      </c>
      <c r="G940" s="25" t="n">
        <v>3200</v>
      </c>
      <c r="H940" s="28" t="n">
        <v>0.2</v>
      </c>
      <c r="I940" s="25" t="n">
        <v>1900</v>
      </c>
    </row>
    <row r="941">
      <c r="A941" s="25" t="inlineStr">
        <is>
          <t>ORD-10501</t>
        </is>
      </c>
      <c r="B941" s="26" t="n">
        <v>45725</v>
      </c>
      <c r="C941" s="25" t="inlineStr">
        <is>
          <t>North</t>
        </is>
      </c>
      <c r="D941" s="25" t="inlineStr">
        <is>
          <t>Office Supplies</t>
        </is>
      </c>
      <c r="E941" s="25" t="inlineStr">
        <is>
          <t>Printer Paper Box</t>
        </is>
      </c>
      <c r="F941" s="25" t="n">
        <v>5</v>
      </c>
      <c r="G941" s="25" t="n">
        <v>1600</v>
      </c>
      <c r="H941" s="28" t="n">
        <v>0</v>
      </c>
      <c r="I941" s="25" t="n">
        <v>1050</v>
      </c>
    </row>
    <row r="942">
      <c r="A942" s="25" t="inlineStr">
        <is>
          <t>ORD-10203</t>
        </is>
      </c>
      <c r="B942" s="25" t="inlineStr">
        <is>
          <t>10-May-2025</t>
        </is>
      </c>
      <c r="C942" s="25" t="inlineStr">
        <is>
          <t>East</t>
        </is>
      </c>
      <c r="D942" s="25" t="inlineStr">
        <is>
          <t>Accessories</t>
        </is>
      </c>
      <c r="E942" s="25" t="inlineStr">
        <is>
          <t>Webcam</t>
        </is>
      </c>
      <c r="F942" s="25" t="n">
        <v>3</v>
      </c>
      <c r="G942" s="25" t="n">
        <v>3200</v>
      </c>
      <c r="H942" s="28" t="n">
        <v>0.05</v>
      </c>
      <c r="I942" s="25" t="n">
        <v>1900</v>
      </c>
    </row>
    <row r="943">
      <c r="A943" s="25" t="inlineStr">
        <is>
          <t>ORD-10705</t>
        </is>
      </c>
      <c r="B943" s="26" t="n">
        <v>45918</v>
      </c>
      <c r="C943" s="25" t="inlineStr">
        <is>
          <t>South</t>
        </is>
      </c>
      <c r="D943" s="25" t="inlineStr">
        <is>
          <t>Accessories</t>
        </is>
      </c>
      <c r="E943" s="25" t="inlineStr">
        <is>
          <t>Webcam</t>
        </is>
      </c>
      <c r="F943" s="25" t="n"/>
      <c r="G943" s="25" t="n">
        <v>3200</v>
      </c>
      <c r="H943" s="28" t="n">
        <v>0.1</v>
      </c>
      <c r="I943" s="25" t="n">
        <v>1900</v>
      </c>
    </row>
    <row r="944">
      <c r="A944" s="25" t="inlineStr">
        <is>
          <t>ORD-10837</t>
        </is>
      </c>
      <c r="B944" s="25" t="inlineStr">
        <is>
          <t>13-Nov-2025</t>
        </is>
      </c>
      <c r="C944" s="25" t="inlineStr">
        <is>
          <t>East</t>
        </is>
      </c>
      <c r="D944" s="25" t="inlineStr">
        <is>
          <t>Accessories</t>
        </is>
      </c>
      <c r="E944" s="25" t="inlineStr">
        <is>
          <t>USB-C Hub</t>
        </is>
      </c>
      <c r="F944" s="25" t="n">
        <v>3</v>
      </c>
      <c r="G944" s="25" t="n">
        <v>1800</v>
      </c>
      <c r="H944" s="28" t="n">
        <v>0</v>
      </c>
      <c r="I944" s="25" t="n">
        <v>980</v>
      </c>
    </row>
    <row r="945">
      <c r="A945" s="25" t="inlineStr">
        <is>
          <t>ORD-10826</t>
        </is>
      </c>
      <c r="B945" s="26" t="n">
        <v>45663</v>
      </c>
      <c r="C945" s="25" t="inlineStr">
        <is>
          <t>South</t>
        </is>
      </c>
      <c r="D945" s="25" t="inlineStr">
        <is>
          <t>Technology</t>
        </is>
      </c>
      <c r="E945" s="25" t="inlineStr">
        <is>
          <t>Mechanical Keyboard</t>
        </is>
      </c>
      <c r="F945" s="25" t="n">
        <v>2</v>
      </c>
      <c r="G945" s="25" t="n">
        <v>4200</v>
      </c>
      <c r="H945" s="28" t="n">
        <v>0.2</v>
      </c>
      <c r="I945" s="25" t="n">
        <v>2500</v>
      </c>
    </row>
    <row r="946">
      <c r="A946" s="25" t="inlineStr">
        <is>
          <t>ORD-10465</t>
        </is>
      </c>
      <c r="B946" s="26" t="n">
        <v>45925</v>
      </c>
      <c r="C946" s="25" t="inlineStr">
        <is>
          <t>North</t>
        </is>
      </c>
      <c r="D946" s="25" t="inlineStr">
        <is>
          <t>Technology</t>
        </is>
      </c>
      <c r="E946" s="25" t="inlineStr">
        <is>
          <t>Mechanical Keyboard</t>
        </is>
      </c>
      <c r="F946" s="25" t="n">
        <v>2</v>
      </c>
      <c r="G946" s="25" t="n">
        <v>4200</v>
      </c>
      <c r="H946" s="28" t="n">
        <v>0</v>
      </c>
      <c r="I946" s="25" t="n">
        <v>2500</v>
      </c>
    </row>
    <row r="947">
      <c r="A947" s="25" t="inlineStr">
        <is>
          <t>ORD-10923</t>
        </is>
      </c>
      <c r="B947" s="26" t="n">
        <v>46002</v>
      </c>
      <c r="C947" s="25" t="inlineStr">
        <is>
          <t>west</t>
        </is>
      </c>
      <c r="D947" s="25" t="inlineStr">
        <is>
          <t>Technology</t>
        </is>
      </c>
      <c r="E947" s="25" t="inlineStr">
        <is>
          <t>Wireless Mouse</t>
        </is>
      </c>
      <c r="F947" s="25" t="n">
        <v>2</v>
      </c>
      <c r="G947" s="25" t="n">
        <v>1200</v>
      </c>
      <c r="H947" s="28" t="n">
        <v>0</v>
      </c>
      <c r="I947" s="25" t="n">
        <v>650</v>
      </c>
    </row>
    <row r="948">
      <c r="A948" s="25" t="inlineStr">
        <is>
          <t>ORD-10618</t>
        </is>
      </c>
      <c r="B948" s="26" t="n">
        <v>45927</v>
      </c>
      <c r="C948" s="25" t="inlineStr">
        <is>
          <t>East</t>
        </is>
      </c>
      <c r="D948" s="25" t="inlineStr">
        <is>
          <t>Technology</t>
        </is>
      </c>
      <c r="E948" s="25" t="inlineStr">
        <is>
          <t>Monitor 24"</t>
        </is>
      </c>
      <c r="F948" s="25" t="n">
        <v>1</v>
      </c>
      <c r="G948" s="25" t="n">
        <v>11500</v>
      </c>
      <c r="H948" s="28" t="n">
        <v>0.2</v>
      </c>
      <c r="I948" s="25" t="n">
        <v>8200</v>
      </c>
    </row>
    <row r="949">
      <c r="A949" s="25" t="inlineStr">
        <is>
          <t>ORD-11156</t>
        </is>
      </c>
      <c r="B949" s="26" t="n">
        <v>45880</v>
      </c>
      <c r="C949" s="25" t="inlineStr">
        <is>
          <t>South</t>
        </is>
      </c>
      <c r="D949" s="25" t="inlineStr">
        <is>
          <t>Accessories</t>
        </is>
      </c>
      <c r="E949" s="25" t="inlineStr">
        <is>
          <t>Webcam</t>
        </is>
      </c>
      <c r="F949" s="25" t="n">
        <v>3</v>
      </c>
      <c r="G949" s="25" t="n">
        <v>3200</v>
      </c>
      <c r="H949" s="28" t="n">
        <v>0</v>
      </c>
      <c r="I949" s="25" t="n">
        <v>1900</v>
      </c>
    </row>
    <row r="950">
      <c r="A950" s="25" t="inlineStr">
        <is>
          <t>ORD-10668</t>
        </is>
      </c>
      <c r="B950" s="26" t="n">
        <v>45994</v>
      </c>
      <c r="C950" s="25" t="inlineStr">
        <is>
          <t>West</t>
        </is>
      </c>
      <c r="D950" s="25" t="inlineStr">
        <is>
          <t>Office Supplies</t>
        </is>
      </c>
      <c r="E950" s="25" t="inlineStr">
        <is>
          <t>Printer Paper Box</t>
        </is>
      </c>
      <c r="F950" s="25" t="n">
        <v>3</v>
      </c>
      <c r="G950" s="25" t="n">
        <v>1600</v>
      </c>
      <c r="H950" s="28" t="n">
        <v>0.05</v>
      </c>
      <c r="I950" s="25" t="n">
        <v>1050</v>
      </c>
    </row>
    <row r="951">
      <c r="A951" s="25" t="inlineStr">
        <is>
          <t>ORD-10442</t>
        </is>
      </c>
      <c r="B951" s="26" t="n">
        <v>45669</v>
      </c>
      <c r="C951" s="25" t="inlineStr">
        <is>
          <t xml:space="preserve">South </t>
        </is>
      </c>
      <c r="D951" s="25" t="inlineStr">
        <is>
          <t>Furniture</t>
        </is>
      </c>
      <c r="E951" s="25" t="inlineStr">
        <is>
          <t>Bookshelf</t>
        </is>
      </c>
      <c r="F951" s="25" t="n">
        <v>3</v>
      </c>
      <c r="G951" s="25" t="n">
        <v>6200</v>
      </c>
      <c r="H951" s="28" t="n">
        <v>0.15</v>
      </c>
      <c r="I951" s="25" t="n">
        <v>4100</v>
      </c>
    </row>
    <row r="952">
      <c r="A952" s="25" t="inlineStr">
        <is>
          <t>ORD-10539</t>
        </is>
      </c>
      <c r="B952" s="26" t="n">
        <v>45818</v>
      </c>
      <c r="C952" s="25" t="inlineStr">
        <is>
          <t>East</t>
        </is>
      </c>
      <c r="D952" s="25" t="inlineStr">
        <is>
          <t>Office Supplies</t>
        </is>
      </c>
      <c r="E952" s="25" t="inlineStr">
        <is>
          <t>Desk Organizer</t>
        </is>
      </c>
      <c r="F952" s="25" t="n">
        <v>3</v>
      </c>
      <c r="G952" s="25" t="n">
        <v>850</v>
      </c>
      <c r="H952" s="28" t="n">
        <v>0.05</v>
      </c>
      <c r="I952" s="25" t="n">
        <v>420</v>
      </c>
    </row>
    <row r="953">
      <c r="A953" s="25" t="inlineStr">
        <is>
          <t>ORD-11123</t>
        </is>
      </c>
      <c r="B953" s="26" t="n">
        <v>45980</v>
      </c>
      <c r="C953" s="25" t="inlineStr">
        <is>
          <t>South</t>
        </is>
      </c>
      <c r="D953" s="25" t="inlineStr">
        <is>
          <t>Office Supplies</t>
        </is>
      </c>
      <c r="E953" s="25" t="inlineStr">
        <is>
          <t>Notebook Set</t>
        </is>
      </c>
      <c r="F953" s="25" t="n">
        <v>8</v>
      </c>
      <c r="G953" s="25" t="n">
        <v>450</v>
      </c>
      <c r="H953" s="28" t="n">
        <v>0.1</v>
      </c>
      <c r="I953" s="25" t="n">
        <v>190</v>
      </c>
    </row>
    <row r="954">
      <c r="A954" s="25" t="inlineStr">
        <is>
          <t>ORD-10787</t>
        </is>
      </c>
      <c r="B954" s="25" t="inlineStr">
        <is>
          <t>21-Oct-2025</t>
        </is>
      </c>
      <c r="C954" s="25" t="inlineStr">
        <is>
          <t>South</t>
        </is>
      </c>
      <c r="D954" s="25" t="inlineStr">
        <is>
          <t>Accessories</t>
        </is>
      </c>
      <c r="E954" s="25" t="inlineStr">
        <is>
          <t>Webcam</t>
        </is>
      </c>
      <c r="F954" s="25" t="n">
        <v>3</v>
      </c>
      <c r="G954" s="25" t="n">
        <v>3200</v>
      </c>
      <c r="H954" s="28" t="n">
        <v>0</v>
      </c>
      <c r="I954" s="25" t="n">
        <v>1900</v>
      </c>
    </row>
    <row r="955">
      <c r="A955" s="25" t="inlineStr">
        <is>
          <t>ORD-10788</t>
        </is>
      </c>
      <c r="B955" s="26" t="n">
        <v>45761</v>
      </c>
      <c r="C955" s="25" t="inlineStr">
        <is>
          <t>North</t>
        </is>
      </c>
      <c r="D955" s="25" t="inlineStr">
        <is>
          <t>Furniture</t>
        </is>
      </c>
      <c r="E955" s="25" t="inlineStr">
        <is>
          <t>Bookshelf</t>
        </is>
      </c>
      <c r="F955" s="25" t="n">
        <v>3</v>
      </c>
      <c r="G955" s="25" t="n">
        <v>6200</v>
      </c>
      <c r="H955" s="28" t="n">
        <v>0</v>
      </c>
      <c r="I955" s="25" t="n">
        <v>4100</v>
      </c>
    </row>
    <row r="956">
      <c r="A956" s="25" t="inlineStr">
        <is>
          <t>ORD-10872</t>
        </is>
      </c>
      <c r="B956" s="26" t="n">
        <v>45980</v>
      </c>
      <c r="C956" s="25" t="inlineStr">
        <is>
          <t>South</t>
        </is>
      </c>
      <c r="D956" s="25" t="inlineStr">
        <is>
          <t>Furniture</t>
        </is>
      </c>
      <c r="E956" s="25" t="inlineStr">
        <is>
          <t>Office Chair</t>
        </is>
      </c>
      <c r="F956" s="25" t="n">
        <v>1</v>
      </c>
      <c r="G956" s="25" t="n">
        <v>8500</v>
      </c>
      <c r="H956" s="28" t="n">
        <v>0.15</v>
      </c>
      <c r="I956" s="25" t="n">
        <v>5600</v>
      </c>
    </row>
    <row r="957">
      <c r="A957" s="25" t="inlineStr">
        <is>
          <t>ORD-10699</t>
        </is>
      </c>
      <c r="B957" s="26" t="n">
        <v>45849</v>
      </c>
      <c r="C957" s="25" t="inlineStr">
        <is>
          <t>West</t>
        </is>
      </c>
      <c r="D957" s="25" t="inlineStr">
        <is>
          <t>Technology</t>
        </is>
      </c>
      <c r="E957" s="25" t="inlineStr">
        <is>
          <t>Wireless Mouse</t>
        </is>
      </c>
      <c r="F957" s="25" t="n">
        <v>5</v>
      </c>
      <c r="G957" s="25" t="n">
        <v>1200</v>
      </c>
      <c r="H957" s="28" t="n">
        <v>0.15</v>
      </c>
      <c r="I957" s="25" t="n">
        <v>650</v>
      </c>
    </row>
    <row r="958">
      <c r="A958" s="25" t="inlineStr">
        <is>
          <t>ORD-11175</t>
        </is>
      </c>
      <c r="B958" s="26" t="n">
        <v>45902</v>
      </c>
      <c r="C958" s="25" t="inlineStr">
        <is>
          <t>West</t>
        </is>
      </c>
      <c r="D958" s="25" t="inlineStr">
        <is>
          <t>Furniture</t>
        </is>
      </c>
      <c r="E958" s="25" t="inlineStr">
        <is>
          <t>Office Chair</t>
        </is>
      </c>
      <c r="F958" s="25" t="n">
        <v>2</v>
      </c>
      <c r="G958" s="25" t="n">
        <v>8500</v>
      </c>
      <c r="H958" s="28" t="n">
        <v>0</v>
      </c>
      <c r="I958" s="25" t="n">
        <v>5600</v>
      </c>
    </row>
    <row r="959">
      <c r="A959" s="25" t="inlineStr">
        <is>
          <t>ORD-10626</t>
        </is>
      </c>
      <c r="B959" s="26" t="n">
        <v>45966</v>
      </c>
      <c r="C959" s="25" t="inlineStr">
        <is>
          <t>South</t>
        </is>
      </c>
      <c r="D959" s="25" t="inlineStr">
        <is>
          <t>Office Supplies</t>
        </is>
      </c>
      <c r="E959" s="25" t="inlineStr">
        <is>
          <t>Notebook Set</t>
        </is>
      </c>
      <c r="F959" s="25" t="n">
        <v>1</v>
      </c>
      <c r="G959" s="25" t="n">
        <v>450</v>
      </c>
      <c r="H959" s="28" t="n">
        <v>0</v>
      </c>
      <c r="I959" s="25" t="n">
        <v>190</v>
      </c>
    </row>
    <row r="960">
      <c r="A960" s="25" t="inlineStr">
        <is>
          <t>ORD-10345</t>
        </is>
      </c>
      <c r="B960" s="26" t="n">
        <v>45971</v>
      </c>
      <c r="C960" s="25" t="inlineStr">
        <is>
          <t>South</t>
        </is>
      </c>
      <c r="D960" s="25" t="inlineStr">
        <is>
          <t>Technology</t>
        </is>
      </c>
      <c r="E960" s="25" t="inlineStr">
        <is>
          <t>Wireless Mouse</t>
        </is>
      </c>
      <c r="F960" s="25" t="n">
        <v>1</v>
      </c>
      <c r="G960" s="25" t="n">
        <v>1200</v>
      </c>
      <c r="H960" s="28" t="n">
        <v>0</v>
      </c>
      <c r="I960" s="25" t="n">
        <v>650</v>
      </c>
    </row>
    <row r="961">
      <c r="A961" s="25" t="inlineStr">
        <is>
          <t>ORD-10971</t>
        </is>
      </c>
      <c r="B961" s="26" t="n">
        <v>45685</v>
      </c>
      <c r="C961" s="25" t="inlineStr">
        <is>
          <t>West</t>
        </is>
      </c>
      <c r="D961" s="25" t="inlineStr">
        <is>
          <t>Technology</t>
        </is>
      </c>
      <c r="E961" s="25" t="inlineStr">
        <is>
          <t>Mechanical Keyboard</t>
        </is>
      </c>
      <c r="F961" s="25" t="n">
        <v>3</v>
      </c>
      <c r="G961" s="25" t="n">
        <v>4200</v>
      </c>
      <c r="H961" s="28" t="n">
        <v>0</v>
      </c>
      <c r="I961" s="25" t="n">
        <v>2500</v>
      </c>
    </row>
    <row r="962">
      <c r="A962" s="25" t="inlineStr">
        <is>
          <t>ORD-10055</t>
        </is>
      </c>
      <c r="B962" s="26" t="n">
        <v>45771</v>
      </c>
      <c r="C962" s="25" t="inlineStr">
        <is>
          <t>South</t>
        </is>
      </c>
      <c r="D962" s="25" t="inlineStr">
        <is>
          <t>Furniture</t>
        </is>
      </c>
      <c r="E962" s="25" t="inlineStr">
        <is>
          <t>Standing Desk</t>
        </is>
      </c>
      <c r="F962" s="25" t="n">
        <v>2</v>
      </c>
      <c r="G962" s="25" t="n">
        <v>19500</v>
      </c>
      <c r="H962" s="28" t="n">
        <v>0</v>
      </c>
      <c r="I962" s="25" t="n">
        <v>13800</v>
      </c>
    </row>
    <row r="963">
      <c r="A963" s="25" t="inlineStr">
        <is>
          <t>ORD-10502</t>
        </is>
      </c>
      <c r="B963" s="26" t="n">
        <v>45965</v>
      </c>
      <c r="C963" s="25" t="inlineStr">
        <is>
          <t>West</t>
        </is>
      </c>
      <c r="D963" s="25" t="inlineStr">
        <is>
          <t>Office Supplies</t>
        </is>
      </c>
      <c r="E963" s="25" t="inlineStr">
        <is>
          <t>Desk Organizer</t>
        </is>
      </c>
      <c r="F963" s="25" t="n">
        <v>4</v>
      </c>
      <c r="G963" s="25" t="n">
        <v>850</v>
      </c>
      <c r="H963" s="28" t="n">
        <v>0.1</v>
      </c>
      <c r="I963" s="25" t="n">
        <v>420</v>
      </c>
    </row>
    <row r="964">
      <c r="A964" s="25" t="inlineStr">
        <is>
          <t>ORD-10338</t>
        </is>
      </c>
      <c r="B964" s="26" t="n">
        <v>45819</v>
      </c>
      <c r="C964" s="25" t="inlineStr">
        <is>
          <t>South</t>
        </is>
      </c>
      <c r="D964" s="25" t="inlineStr">
        <is>
          <t>Accessories</t>
        </is>
      </c>
      <c r="E964" s="25" t="inlineStr">
        <is>
          <t>Headphones</t>
        </is>
      </c>
      <c r="F964" s="25" t="n">
        <v>1</v>
      </c>
      <c r="G964" s="25" t="n">
        <v>4500</v>
      </c>
      <c r="H964" s="28" t="n">
        <v>0.1</v>
      </c>
      <c r="I964" s="25" t="n">
        <v>2600</v>
      </c>
    </row>
    <row r="965">
      <c r="A965" s="25" t="inlineStr">
        <is>
          <t>ORD-10870</t>
        </is>
      </c>
      <c r="B965" s="26" t="n">
        <v>45822</v>
      </c>
      <c r="C965" s="25" t="inlineStr">
        <is>
          <t xml:space="preserve"> North </t>
        </is>
      </c>
      <c r="D965" s="25" t="inlineStr">
        <is>
          <t>Office Supplies</t>
        </is>
      </c>
      <c r="E965" s="25" t="inlineStr">
        <is>
          <t>Notebook Set</t>
        </is>
      </c>
      <c r="F965" s="25" t="n">
        <v>8</v>
      </c>
      <c r="G965" s="25" t="n">
        <v>450</v>
      </c>
      <c r="H965" s="28" t="n">
        <v>0.1</v>
      </c>
      <c r="I965" s="25" t="n">
        <v>190</v>
      </c>
    </row>
    <row r="966">
      <c r="A966" s="25" t="inlineStr">
        <is>
          <t>ORD-10245</t>
        </is>
      </c>
      <c r="B966" s="25" t="inlineStr">
        <is>
          <t>28-Dec-2025</t>
        </is>
      </c>
      <c r="C966" s="25" t="inlineStr">
        <is>
          <t>South</t>
        </is>
      </c>
      <c r="D966" s="25" t="inlineStr">
        <is>
          <t>Accessories</t>
        </is>
      </c>
      <c r="E966" s="25" t="inlineStr">
        <is>
          <t>Webcam</t>
        </is>
      </c>
      <c r="F966" s="25" t="n">
        <v>2</v>
      </c>
      <c r="G966" s="25" t="n">
        <v>3200</v>
      </c>
      <c r="H966" s="28" t="n">
        <v>0</v>
      </c>
      <c r="I966" s="25" t="n">
        <v>1900</v>
      </c>
    </row>
    <row r="967">
      <c r="A967" s="25" t="inlineStr">
        <is>
          <t>ORD-10378</t>
        </is>
      </c>
      <c r="B967" s="26" t="n">
        <v>45736</v>
      </c>
      <c r="C967" s="25" t="inlineStr">
        <is>
          <t>South</t>
        </is>
      </c>
      <c r="D967" s="25" t="inlineStr">
        <is>
          <t>Accessories</t>
        </is>
      </c>
      <c r="E967" s="25" t="inlineStr">
        <is>
          <t>USB-C Hub</t>
        </is>
      </c>
      <c r="F967" s="25" t="n">
        <v>2</v>
      </c>
      <c r="G967" s="25" t="n">
        <v>1800</v>
      </c>
      <c r="H967" s="28" t="n">
        <v>0.1</v>
      </c>
      <c r="I967" s="25" t="n">
        <v>980</v>
      </c>
    </row>
    <row r="968">
      <c r="A968" s="25" t="inlineStr">
        <is>
          <t>ORD-10867</t>
        </is>
      </c>
      <c r="B968" s="26" t="n">
        <v>45897</v>
      </c>
      <c r="C968" s="25" t="inlineStr">
        <is>
          <t>South</t>
        </is>
      </c>
      <c r="D968" s="25" t="inlineStr">
        <is>
          <t>Office Supplies</t>
        </is>
      </c>
      <c r="E968" s="25" t="inlineStr">
        <is>
          <t>Notebook Set</t>
        </is>
      </c>
      <c r="F968" s="25" t="n">
        <v>6</v>
      </c>
      <c r="G968" s="25" t="n">
        <v>450</v>
      </c>
      <c r="H968" s="28" t="n">
        <v>0</v>
      </c>
      <c r="I968" s="25" t="n">
        <v>190</v>
      </c>
    </row>
    <row r="969">
      <c r="A969" s="25" t="inlineStr">
        <is>
          <t>ORD-10916</t>
        </is>
      </c>
      <c r="B969" s="25" t="inlineStr">
        <is>
          <t>17-Dec-2025</t>
        </is>
      </c>
      <c r="C969" s="25" t="inlineStr">
        <is>
          <t>West</t>
        </is>
      </c>
      <c r="D969" s="25" t="inlineStr">
        <is>
          <t>Office Supplies</t>
        </is>
      </c>
      <c r="E969" s="25" t="inlineStr">
        <is>
          <t>Printer Paper Box</t>
        </is>
      </c>
      <c r="F969" s="25" t="n">
        <v>4</v>
      </c>
      <c r="G969" s="25" t="n">
        <v>1600</v>
      </c>
      <c r="H969" s="28" t="n">
        <v>0</v>
      </c>
      <c r="I969" s="25" t="n">
        <v>1050</v>
      </c>
    </row>
    <row r="970">
      <c r="A970" s="25" t="inlineStr">
        <is>
          <t>ORD-10036</t>
        </is>
      </c>
      <c r="B970" s="25" t="inlineStr">
        <is>
          <t>17-Nov-2025</t>
        </is>
      </c>
      <c r="C970" s="25" t="inlineStr">
        <is>
          <t>North</t>
        </is>
      </c>
      <c r="D970" s="25" t="inlineStr">
        <is>
          <t>Technology</t>
        </is>
      </c>
      <c r="E970" s="25" t="inlineStr">
        <is>
          <t>Wireless Mouse</t>
        </is>
      </c>
      <c r="F970" s="25" t="n">
        <v>5</v>
      </c>
      <c r="G970" s="25" t="n">
        <v>1200</v>
      </c>
      <c r="H970" s="28" t="n">
        <v>0</v>
      </c>
      <c r="I970" s="25" t="n">
        <v>650</v>
      </c>
    </row>
    <row r="971">
      <c r="A971" s="25" t="inlineStr">
        <is>
          <t>ORD-11060</t>
        </is>
      </c>
      <c r="B971" s="26" t="n">
        <v>45713</v>
      </c>
      <c r="C971" s="25" t="inlineStr">
        <is>
          <t>east</t>
        </is>
      </c>
      <c r="D971" s="25" t="inlineStr">
        <is>
          <t>Accessories</t>
        </is>
      </c>
      <c r="E971" s="25" t="inlineStr">
        <is>
          <t>Webcam</t>
        </is>
      </c>
      <c r="F971" s="25" t="n">
        <v>2</v>
      </c>
      <c r="G971" s="25" t="n">
        <v>3200</v>
      </c>
      <c r="H971" s="28" t="n">
        <v>0.2</v>
      </c>
      <c r="I971" s="25" t="n">
        <v>1900</v>
      </c>
    </row>
    <row r="972">
      <c r="A972" s="25" t="inlineStr">
        <is>
          <t>ORD-10536</t>
        </is>
      </c>
      <c r="B972" s="25" t="inlineStr">
        <is>
          <t>16-May-2025</t>
        </is>
      </c>
      <c r="C972" s="25" t="inlineStr">
        <is>
          <t>North</t>
        </is>
      </c>
      <c r="D972" s="25" t="inlineStr">
        <is>
          <t>Technology</t>
        </is>
      </c>
      <c r="E972" s="25" t="inlineStr">
        <is>
          <t>Wireless Mouse</t>
        </is>
      </c>
      <c r="F972" s="25" t="n">
        <v>1</v>
      </c>
      <c r="G972" s="25" t="n">
        <v>1200</v>
      </c>
      <c r="H972" s="28" t="n">
        <v>0</v>
      </c>
      <c r="I972" s="25" t="n">
        <v>650</v>
      </c>
    </row>
    <row r="973">
      <c r="A973" s="25" t="inlineStr">
        <is>
          <t>ORD-10491</t>
        </is>
      </c>
      <c r="B973" s="26" t="n">
        <v>45783</v>
      </c>
      <c r="C973" s="25" t="inlineStr">
        <is>
          <t>South</t>
        </is>
      </c>
      <c r="D973" s="25" t="inlineStr">
        <is>
          <t>Accessories</t>
        </is>
      </c>
      <c r="E973" s="25" t="inlineStr">
        <is>
          <t>USB-C Hub</t>
        </is>
      </c>
      <c r="F973" s="25" t="n">
        <v>4</v>
      </c>
      <c r="G973" s="25" t="n">
        <v>1800</v>
      </c>
      <c r="H973" s="28" t="n">
        <v>0.2</v>
      </c>
      <c r="I973" s="25" t="n">
        <v>980</v>
      </c>
    </row>
    <row r="974">
      <c r="A974" s="25" t="inlineStr">
        <is>
          <t>ORD-10696</t>
        </is>
      </c>
      <c r="B974" s="26" t="n">
        <v>45749</v>
      </c>
      <c r="C974" s="25" t="inlineStr">
        <is>
          <t>West</t>
        </is>
      </c>
      <c r="D974" s="25" t="inlineStr">
        <is>
          <t>Furniture</t>
        </is>
      </c>
      <c r="E974" s="25" t="inlineStr">
        <is>
          <t>Standing Desk</t>
        </is>
      </c>
      <c r="F974" s="25" t="n">
        <v>1</v>
      </c>
      <c r="G974" s="25" t="n">
        <v>19500</v>
      </c>
      <c r="H974" s="28" t="n">
        <v>0</v>
      </c>
      <c r="I974" s="25" t="n">
        <v>13800</v>
      </c>
    </row>
    <row r="975">
      <c r="A975" s="25" t="inlineStr">
        <is>
          <t>ORD-10464</t>
        </is>
      </c>
      <c r="B975" s="26" t="n">
        <v>45790</v>
      </c>
      <c r="C975" s="25" t="inlineStr">
        <is>
          <t>South</t>
        </is>
      </c>
      <c r="D975" s="25" t="inlineStr">
        <is>
          <t>Office Supplies</t>
        </is>
      </c>
      <c r="E975" s="25" t="inlineStr">
        <is>
          <t>Printer Paper Box</t>
        </is>
      </c>
      <c r="F975" s="25" t="n">
        <v>6</v>
      </c>
      <c r="G975" s="25" t="n">
        <v>1600</v>
      </c>
      <c r="H975" s="28" t="n">
        <v>0.2</v>
      </c>
      <c r="I975" s="25" t="n">
        <v>1050</v>
      </c>
    </row>
    <row r="976">
      <c r="A976" s="25" t="inlineStr">
        <is>
          <t>ORD-10412</t>
        </is>
      </c>
      <c r="B976" s="26" t="n">
        <v>45778</v>
      </c>
      <c r="C976" s="25" t="inlineStr">
        <is>
          <t>West</t>
        </is>
      </c>
      <c r="D976" s="25" t="inlineStr">
        <is>
          <t>Office Supplies</t>
        </is>
      </c>
      <c r="E976" s="25" t="inlineStr">
        <is>
          <t>Notebook Set</t>
        </is>
      </c>
      <c r="F976" s="25" t="n"/>
      <c r="G976" s="25" t="n">
        <v>450</v>
      </c>
      <c r="H976" s="28" t="n">
        <v>0</v>
      </c>
      <c r="I976" s="25" t="n">
        <v>190</v>
      </c>
    </row>
    <row r="977">
      <c r="A977" s="25" t="inlineStr">
        <is>
          <t>ORD-10519</t>
        </is>
      </c>
      <c r="B977" s="26" t="n">
        <v>45794</v>
      </c>
      <c r="C977" s="25" t="inlineStr">
        <is>
          <t>West</t>
        </is>
      </c>
      <c r="D977" s="25" t="inlineStr">
        <is>
          <t>Office Supplies</t>
        </is>
      </c>
      <c r="E977" s="25" t="inlineStr">
        <is>
          <t>Desk Organizer</t>
        </is>
      </c>
      <c r="F977" s="25" t="n">
        <v>2</v>
      </c>
      <c r="G977" s="25" t="n">
        <v>850</v>
      </c>
      <c r="H977" s="28" t="n">
        <v>0.1</v>
      </c>
      <c r="I977" s="25" t="n">
        <v>420</v>
      </c>
    </row>
    <row r="978">
      <c r="A978" s="25" t="inlineStr">
        <is>
          <t>ORD-10294</t>
        </is>
      </c>
      <c r="B978" s="26" t="n">
        <v>45697</v>
      </c>
      <c r="C978" s="25" t="inlineStr">
        <is>
          <t>North</t>
        </is>
      </c>
      <c r="D978" s="25" t="inlineStr">
        <is>
          <t>Furniture</t>
        </is>
      </c>
      <c r="E978" s="25" t="inlineStr">
        <is>
          <t>Bookshelf</t>
        </is>
      </c>
      <c r="F978" s="25" t="n">
        <v>1</v>
      </c>
      <c r="G978" s="25" t="n">
        <v>6200</v>
      </c>
      <c r="H978" s="28" t="n">
        <v>0.1</v>
      </c>
      <c r="I978" s="25" t="n">
        <v>4100</v>
      </c>
    </row>
    <row r="979">
      <c r="A979" s="25" t="inlineStr">
        <is>
          <t>ORD-10784</t>
        </is>
      </c>
      <c r="B979" s="26" t="n">
        <v>45933</v>
      </c>
      <c r="C979" s="25" t="inlineStr">
        <is>
          <t>SOUTH</t>
        </is>
      </c>
      <c r="D979" s="25" t="inlineStr">
        <is>
          <t>Furniture</t>
        </is>
      </c>
      <c r="E979" s="25" t="inlineStr">
        <is>
          <t>Bookshelf</t>
        </is>
      </c>
      <c r="F979" s="25" t="n">
        <v>3</v>
      </c>
      <c r="G979" s="25" t="n">
        <v>6200</v>
      </c>
      <c r="H979" s="28" t="n">
        <v>0</v>
      </c>
      <c r="I979" s="25" t="n">
        <v>4100</v>
      </c>
    </row>
    <row r="980">
      <c r="A980" s="25" t="inlineStr">
        <is>
          <t>ORD-10774</t>
        </is>
      </c>
      <c r="B980" s="25" t="inlineStr">
        <is>
          <t>20-Nov-2025</t>
        </is>
      </c>
      <c r="C980" s="25" t="inlineStr">
        <is>
          <t>West</t>
        </is>
      </c>
      <c r="D980" s="25" t="inlineStr">
        <is>
          <t>Office Supplies</t>
        </is>
      </c>
      <c r="E980" s="25" t="inlineStr">
        <is>
          <t>Printer Paper Box</t>
        </is>
      </c>
      <c r="F980" s="25" t="n">
        <v>5</v>
      </c>
      <c r="G980" s="25" t="n">
        <v>1600</v>
      </c>
      <c r="H980" s="28" t="n">
        <v>0</v>
      </c>
      <c r="I980" s="25" t="n">
        <v>1050</v>
      </c>
    </row>
    <row r="981">
      <c r="A981" s="25" t="inlineStr">
        <is>
          <t>ORD-10061</t>
        </is>
      </c>
      <c r="B981" s="25" t="inlineStr">
        <is>
          <t>16-Nov-2025</t>
        </is>
      </c>
      <c r="C981" s="25" t="inlineStr">
        <is>
          <t>West</t>
        </is>
      </c>
      <c r="D981" s="25" t="inlineStr">
        <is>
          <t>Accessories</t>
        </is>
      </c>
      <c r="E981" s="25" t="inlineStr">
        <is>
          <t>Webcam</t>
        </is>
      </c>
      <c r="F981" s="25" t="n">
        <v>1</v>
      </c>
      <c r="G981" s="25" t="n">
        <v>3200</v>
      </c>
      <c r="H981" s="28" t="n">
        <v>0.15</v>
      </c>
      <c r="I981" s="25" t="n">
        <v>1900</v>
      </c>
    </row>
    <row r="982">
      <c r="A982" s="25" t="inlineStr">
        <is>
          <t>ORD-10085</t>
        </is>
      </c>
      <c r="B982" s="26" t="n">
        <v>45684</v>
      </c>
      <c r="C982" s="25" t="inlineStr">
        <is>
          <t>North</t>
        </is>
      </c>
      <c r="D982" s="25" t="inlineStr">
        <is>
          <t>Office Supplies</t>
        </is>
      </c>
      <c r="E982" s="25" t="inlineStr">
        <is>
          <t>Printer Paper Box</t>
        </is>
      </c>
      <c r="F982" s="25" t="n">
        <v>3</v>
      </c>
      <c r="G982" s="25" t="n">
        <v>1600</v>
      </c>
      <c r="H982" s="28" t="n">
        <v>0</v>
      </c>
      <c r="I982" s="25" t="n">
        <v>1050</v>
      </c>
    </row>
    <row r="983">
      <c r="A983" s="25" t="inlineStr">
        <is>
          <t>ORD-10507</t>
        </is>
      </c>
      <c r="B983" s="26" t="n">
        <v>46011</v>
      </c>
      <c r="C983" s="25" t="inlineStr">
        <is>
          <t>South</t>
        </is>
      </c>
      <c r="D983" s="25" t="inlineStr">
        <is>
          <t>Furniture</t>
        </is>
      </c>
      <c r="E983" s="25" t="inlineStr">
        <is>
          <t>Office Chair</t>
        </is>
      </c>
      <c r="F983" s="25" t="n">
        <v>2</v>
      </c>
      <c r="G983" s="25" t="n">
        <v>8500</v>
      </c>
      <c r="H983" s="28" t="n">
        <v>0</v>
      </c>
      <c r="I983" s="25" t="n">
        <v>5600</v>
      </c>
    </row>
    <row r="984">
      <c r="A984" s="25" t="inlineStr">
        <is>
          <t>ORD-11018</t>
        </is>
      </c>
      <c r="B984" s="25" t="inlineStr">
        <is>
          <t>13-Sep-2025</t>
        </is>
      </c>
      <c r="C984" s="25" t="inlineStr">
        <is>
          <t>West</t>
        </is>
      </c>
      <c r="D984" s="25" t="inlineStr">
        <is>
          <t>Technology</t>
        </is>
      </c>
      <c r="E984" s="25" t="inlineStr">
        <is>
          <t>Monitor 24"</t>
        </is>
      </c>
      <c r="F984" s="25" t="n">
        <v>2</v>
      </c>
      <c r="G984" s="25" t="n">
        <v>11500</v>
      </c>
      <c r="H984" s="28" t="n">
        <v>0</v>
      </c>
      <c r="I984" s="25" t="n">
        <v>8200</v>
      </c>
    </row>
    <row r="985">
      <c r="A985" s="25" t="inlineStr">
        <is>
          <t>ORD-10284</t>
        </is>
      </c>
      <c r="B985" s="25" t="inlineStr">
        <is>
          <t>27-Jun-2025</t>
        </is>
      </c>
      <c r="C985" s="25" t="inlineStr">
        <is>
          <t>East</t>
        </is>
      </c>
      <c r="D985" s="25" t="inlineStr">
        <is>
          <t>Office Supplies</t>
        </is>
      </c>
      <c r="E985" s="25" t="inlineStr">
        <is>
          <t>Notebook Set</t>
        </is>
      </c>
      <c r="F985" s="25" t="n">
        <v>6</v>
      </c>
      <c r="G985" s="25" t="n">
        <v>450</v>
      </c>
      <c r="H985" s="28" t="n">
        <v>0</v>
      </c>
      <c r="I985" s="25" t="n">
        <v>190</v>
      </c>
    </row>
    <row r="986">
      <c r="A986" s="25" t="inlineStr">
        <is>
          <t>ORD-10916</t>
        </is>
      </c>
      <c r="B986" s="25" t="inlineStr">
        <is>
          <t>17-Dec-2025</t>
        </is>
      </c>
      <c r="C986" s="25" t="inlineStr">
        <is>
          <t>West</t>
        </is>
      </c>
      <c r="D986" s="25" t="inlineStr">
        <is>
          <t>Office Supplies</t>
        </is>
      </c>
      <c r="E986" s="25" t="inlineStr">
        <is>
          <t>Printer Paper Box</t>
        </is>
      </c>
      <c r="F986" s="25" t="n">
        <v>4</v>
      </c>
      <c r="G986" s="25" t="n">
        <v>1600</v>
      </c>
      <c r="H986" s="28" t="n">
        <v>0</v>
      </c>
      <c r="I986" s="25" t="n">
        <v>1050</v>
      </c>
    </row>
    <row r="987">
      <c r="A987" s="25" t="inlineStr">
        <is>
          <t>ORD-10991</t>
        </is>
      </c>
      <c r="B987" s="26" t="n">
        <v>45737</v>
      </c>
      <c r="C987" s="25" t="inlineStr">
        <is>
          <t>East</t>
        </is>
      </c>
      <c r="D987" s="25" t="inlineStr">
        <is>
          <t>Accessories</t>
        </is>
      </c>
      <c r="E987" s="25" t="inlineStr">
        <is>
          <t>USB-C Hub</t>
        </is>
      </c>
      <c r="F987" s="25" t="n">
        <v>1</v>
      </c>
      <c r="G987" s="25" t="n">
        <v>1800</v>
      </c>
      <c r="H987" s="28" t="n">
        <v>0</v>
      </c>
      <c r="I987" s="25" t="n">
        <v>980</v>
      </c>
    </row>
    <row r="988">
      <c r="A988" s="25" t="inlineStr">
        <is>
          <t>ORD-10723</t>
        </is>
      </c>
      <c r="B988" s="26" t="n">
        <v>45979</v>
      </c>
      <c r="C988" s="25" t="inlineStr">
        <is>
          <t>West</t>
        </is>
      </c>
      <c r="D988" s="25" t="inlineStr">
        <is>
          <t>Technology</t>
        </is>
      </c>
      <c r="E988" s="25" t="inlineStr">
        <is>
          <t>Wireless Mouse</t>
        </is>
      </c>
      <c r="F988" s="25" t="n">
        <v>3</v>
      </c>
      <c r="G988" s="25" t="n">
        <v>1200</v>
      </c>
      <c r="H988" s="28" t="n">
        <v>0</v>
      </c>
      <c r="I988" s="25" t="n">
        <v>650</v>
      </c>
    </row>
    <row r="989">
      <c r="A989" s="25" t="inlineStr">
        <is>
          <t>ORD-10457</t>
        </is>
      </c>
      <c r="B989" s="26" t="n">
        <v>45928</v>
      </c>
      <c r="C989" s="25" t="inlineStr">
        <is>
          <t>East</t>
        </is>
      </c>
      <c r="D989" s="25" t="inlineStr">
        <is>
          <t>Office Supplies</t>
        </is>
      </c>
      <c r="E989" s="25" t="inlineStr">
        <is>
          <t>Notebook Set</t>
        </is>
      </c>
      <c r="F989" s="25" t="n">
        <v>6</v>
      </c>
      <c r="G989" s="25" t="n">
        <v>450</v>
      </c>
      <c r="H989" s="28" t="n">
        <v>0.1</v>
      </c>
      <c r="I989" s="25" t="n">
        <v>190</v>
      </c>
    </row>
    <row r="990">
      <c r="A990" s="25" t="inlineStr">
        <is>
          <t>ORD-10818</t>
        </is>
      </c>
      <c r="B990" s="25" t="inlineStr">
        <is>
          <t>08-Dec-2025</t>
        </is>
      </c>
      <c r="C990" s="25" t="inlineStr">
        <is>
          <t>East</t>
        </is>
      </c>
      <c r="D990" s="25" t="inlineStr">
        <is>
          <t>Technology</t>
        </is>
      </c>
      <c r="E990" s="25" t="inlineStr">
        <is>
          <t>Wireless Mouse</t>
        </is>
      </c>
      <c r="F990" s="25" t="n">
        <v>5</v>
      </c>
      <c r="G990" s="25" t="n">
        <v>1200</v>
      </c>
      <c r="H990" s="28" t="n">
        <v>0.15</v>
      </c>
      <c r="I990" s="25" t="n">
        <v>650</v>
      </c>
    </row>
    <row r="991">
      <c r="A991" s="25" t="inlineStr">
        <is>
          <t>ORD-11158</t>
        </is>
      </c>
      <c r="B991" s="26" t="n">
        <v>46012</v>
      </c>
      <c r="C991" s="25" t="inlineStr">
        <is>
          <t>South</t>
        </is>
      </c>
      <c r="D991" s="25" t="inlineStr">
        <is>
          <t>Furniture</t>
        </is>
      </c>
      <c r="E991" s="25" t="inlineStr">
        <is>
          <t>Bookshelf</t>
        </is>
      </c>
      <c r="F991" s="25" t="n">
        <v>2</v>
      </c>
      <c r="G991" s="25" t="n">
        <v>6200</v>
      </c>
      <c r="H991" s="28" t="n">
        <v>0</v>
      </c>
      <c r="I991" s="25" t="n">
        <v>4100</v>
      </c>
    </row>
    <row r="992">
      <c r="A992" s="25" t="inlineStr">
        <is>
          <t>ORD-11197</t>
        </is>
      </c>
      <c r="B992" s="26" t="n">
        <v>45845</v>
      </c>
      <c r="C992" s="25" t="inlineStr">
        <is>
          <t>North</t>
        </is>
      </c>
      <c r="D992" s="25" t="inlineStr">
        <is>
          <t>Technology</t>
        </is>
      </c>
      <c r="E992" s="25" t="inlineStr">
        <is>
          <t>Wireless Mouse</t>
        </is>
      </c>
      <c r="F992" s="25" t="n">
        <v>5</v>
      </c>
      <c r="G992" s="25" t="n">
        <v>1200</v>
      </c>
      <c r="H992" s="28" t="n">
        <v>0.05</v>
      </c>
      <c r="I992" s="25" t="n">
        <v>650</v>
      </c>
    </row>
    <row r="993">
      <c r="A993" s="25" t="inlineStr">
        <is>
          <t>ORD-11112</t>
        </is>
      </c>
      <c r="B993" s="26" t="n">
        <v>45716</v>
      </c>
      <c r="C993" s="25" t="inlineStr">
        <is>
          <t>West</t>
        </is>
      </c>
      <c r="D993" s="25" t="inlineStr">
        <is>
          <t>Technology</t>
        </is>
      </c>
      <c r="E993" s="25" t="inlineStr">
        <is>
          <t>Wireless Mouse</t>
        </is>
      </c>
      <c r="F993" s="25" t="n">
        <v>5</v>
      </c>
      <c r="G993" s="25" t="n">
        <v>1200</v>
      </c>
      <c r="H993" s="28" t="n">
        <v>0.05</v>
      </c>
      <c r="I993" s="25" t="n">
        <v>650</v>
      </c>
    </row>
    <row r="994">
      <c r="A994" s="25" t="inlineStr">
        <is>
          <t>ORD-11063</t>
        </is>
      </c>
      <c r="B994" s="26" t="n">
        <v>45996</v>
      </c>
      <c r="C994" s="25" t="inlineStr">
        <is>
          <t>North</t>
        </is>
      </c>
      <c r="D994" s="25" t="inlineStr">
        <is>
          <t>Office Supplies</t>
        </is>
      </c>
      <c r="E994" s="25" t="inlineStr">
        <is>
          <t>Desk Organizer</t>
        </is>
      </c>
      <c r="F994" s="25" t="n">
        <v>1</v>
      </c>
      <c r="G994" s="25" t="n">
        <v>850</v>
      </c>
      <c r="H994" s="28" t="n">
        <v>0</v>
      </c>
      <c r="I994" s="25" t="n">
        <v>420</v>
      </c>
    </row>
    <row r="995">
      <c r="A995" s="25" t="inlineStr">
        <is>
          <t>ORD-11104</t>
        </is>
      </c>
      <c r="B995" s="26" t="n">
        <v>45790</v>
      </c>
      <c r="C995" s="25" t="inlineStr">
        <is>
          <t>South</t>
        </is>
      </c>
      <c r="D995" s="25" t="inlineStr">
        <is>
          <t>Accessories</t>
        </is>
      </c>
      <c r="E995" s="25" t="inlineStr">
        <is>
          <t>Webcam</t>
        </is>
      </c>
      <c r="F995" s="25" t="n">
        <v>3</v>
      </c>
      <c r="G995" s="25" t="n">
        <v>3200</v>
      </c>
      <c r="H995" s="28" t="n">
        <v>0</v>
      </c>
      <c r="I995" s="25" t="n">
        <v>1900</v>
      </c>
    </row>
    <row r="996">
      <c r="A996" s="25" t="inlineStr">
        <is>
          <t>ORD-10685</t>
        </is>
      </c>
      <c r="B996" s="25" t="inlineStr">
        <is>
          <t>26-Mar-2025</t>
        </is>
      </c>
      <c r="C996" s="25" t="inlineStr">
        <is>
          <t>North</t>
        </is>
      </c>
      <c r="D996" s="25" t="inlineStr">
        <is>
          <t>Technology</t>
        </is>
      </c>
      <c r="E996" s="25" t="inlineStr">
        <is>
          <t>Wireless Mouse</t>
        </is>
      </c>
      <c r="F996" s="25" t="n">
        <v>3</v>
      </c>
      <c r="G996" s="25" t="n">
        <v>1200</v>
      </c>
      <c r="H996" s="28" t="n">
        <v>0</v>
      </c>
      <c r="I996" s="25" t="n">
        <v>650</v>
      </c>
    </row>
    <row r="997">
      <c r="A997" s="25" t="inlineStr">
        <is>
          <t>ORD-10101</t>
        </is>
      </c>
      <c r="B997" s="26" t="n">
        <v>45907</v>
      </c>
      <c r="C997" s="25" t="inlineStr">
        <is>
          <t>South</t>
        </is>
      </c>
      <c r="D997" s="25" t="inlineStr">
        <is>
          <t>Furniture</t>
        </is>
      </c>
      <c r="E997" s="25" t="inlineStr">
        <is>
          <t>Standing Desk</t>
        </is>
      </c>
      <c r="F997" s="25" t="n">
        <v>2</v>
      </c>
      <c r="G997" s="25" t="n">
        <v>19500</v>
      </c>
      <c r="H997" s="28" t="n">
        <v>0.1</v>
      </c>
      <c r="I997" s="25" t="n">
        <v>13800</v>
      </c>
    </row>
    <row r="998">
      <c r="A998" s="25" t="inlineStr">
        <is>
          <t>ORD-10454</t>
        </is>
      </c>
      <c r="B998" s="26" t="n">
        <v>45971</v>
      </c>
      <c r="C998" s="25" t="inlineStr">
        <is>
          <t>North</t>
        </is>
      </c>
      <c r="D998" s="25" t="inlineStr">
        <is>
          <t>Technology</t>
        </is>
      </c>
      <c r="E998" s="25" t="inlineStr">
        <is>
          <t>Monitor 24"</t>
        </is>
      </c>
      <c r="F998" s="25" t="n">
        <v>2</v>
      </c>
      <c r="G998" s="25" t="n">
        <v>11500</v>
      </c>
      <c r="H998" s="28" t="n">
        <v>0</v>
      </c>
      <c r="I998" s="25" t="n">
        <v>8200</v>
      </c>
    </row>
    <row r="999">
      <c r="A999" s="25" t="inlineStr">
        <is>
          <t>ORD-10865</t>
        </is>
      </c>
      <c r="B999" s="26" t="n">
        <v>45967</v>
      </c>
      <c r="C999" s="25" t="inlineStr">
        <is>
          <t>North</t>
        </is>
      </c>
      <c r="D999" s="25" t="inlineStr">
        <is>
          <t>Office Supplies</t>
        </is>
      </c>
      <c r="E999" s="25" t="inlineStr">
        <is>
          <t>Printer Paper Box</t>
        </is>
      </c>
      <c r="F999" s="25" t="n">
        <v>3</v>
      </c>
      <c r="G999" s="25" t="n">
        <v>1600</v>
      </c>
      <c r="H999" s="28" t="n">
        <v>0</v>
      </c>
      <c r="I999" s="25" t="n">
        <v>1050</v>
      </c>
    </row>
    <row r="1000">
      <c r="A1000" s="25" t="inlineStr">
        <is>
          <t>ORD-10322</t>
        </is>
      </c>
      <c r="B1000" s="25" t="inlineStr">
        <is>
          <t>11-Apr-2025</t>
        </is>
      </c>
      <c r="C1000" s="25" t="inlineStr">
        <is>
          <t>SOUTH</t>
        </is>
      </c>
      <c r="D1000" s="25" t="inlineStr">
        <is>
          <t>Technology</t>
        </is>
      </c>
      <c r="E1000" s="25" t="inlineStr">
        <is>
          <t>Mechanical Keyboard</t>
        </is>
      </c>
      <c r="F1000" s="25" t="n">
        <v>3</v>
      </c>
      <c r="G1000" s="25" t="n">
        <v>4200</v>
      </c>
      <c r="H1000" s="28" t="n">
        <v>0.05</v>
      </c>
      <c r="I1000" s="25" t="n">
        <v>2500</v>
      </c>
    </row>
    <row r="1001">
      <c r="A1001" s="25" t="inlineStr">
        <is>
          <t>ORD-10432</t>
        </is>
      </c>
      <c r="B1001" s="26" t="n">
        <v>45894</v>
      </c>
      <c r="C1001" s="25" t="inlineStr">
        <is>
          <t>SOUTH</t>
        </is>
      </c>
      <c r="D1001" s="25" t="inlineStr">
        <is>
          <t>Office Supplies</t>
        </is>
      </c>
      <c r="E1001" s="25" t="inlineStr">
        <is>
          <t>Notebook Set</t>
        </is>
      </c>
      <c r="F1001" s="25" t="n">
        <v>1</v>
      </c>
      <c r="G1001" s="25" t="n">
        <v>450</v>
      </c>
      <c r="H1001" s="28" t="n">
        <v>0.1</v>
      </c>
      <c r="I1001" s="25" t="n">
        <v>190</v>
      </c>
    </row>
    <row r="1002">
      <c r="A1002" s="25" t="inlineStr">
        <is>
          <t>ORD-10334</t>
        </is>
      </c>
      <c r="B1002" s="26" t="n">
        <v>45770</v>
      </c>
      <c r="C1002" s="25" t="inlineStr">
        <is>
          <t>South</t>
        </is>
      </c>
      <c r="D1002" s="25" t="inlineStr">
        <is>
          <t>Technology</t>
        </is>
      </c>
      <c r="E1002" s="25" t="inlineStr">
        <is>
          <t>Wireless Mouse</t>
        </is>
      </c>
      <c r="F1002" s="25" t="n">
        <v>3</v>
      </c>
      <c r="G1002" s="25" t="n">
        <v>1200</v>
      </c>
      <c r="H1002" s="28" t="n">
        <v>0.1</v>
      </c>
      <c r="I1002" s="25" t="n">
        <v>650</v>
      </c>
    </row>
    <row r="1003">
      <c r="A1003" s="25" t="inlineStr">
        <is>
          <t>ORD-10915</t>
        </is>
      </c>
      <c r="B1003" s="26" t="n">
        <v>45974</v>
      </c>
      <c r="C1003" s="25" t="inlineStr">
        <is>
          <t>West</t>
        </is>
      </c>
      <c r="D1003" s="25" t="inlineStr">
        <is>
          <t>Technology</t>
        </is>
      </c>
      <c r="E1003" s="25" t="inlineStr">
        <is>
          <t>Mechanical Keyboard</t>
        </is>
      </c>
      <c r="F1003" s="25" t="n">
        <v>3</v>
      </c>
      <c r="G1003" s="25" t="n">
        <v>4200</v>
      </c>
      <c r="H1003" s="28" t="n">
        <v>0.1</v>
      </c>
      <c r="I1003" s="25" t="n">
        <v>2500</v>
      </c>
    </row>
    <row r="1004">
      <c r="A1004" s="25" t="inlineStr">
        <is>
          <t>ORD-10468</t>
        </is>
      </c>
      <c r="B1004" s="26" t="n">
        <v>45741</v>
      </c>
      <c r="C1004" s="25" t="inlineStr">
        <is>
          <t>West</t>
        </is>
      </c>
      <c r="D1004" s="25" t="inlineStr">
        <is>
          <t>Technology</t>
        </is>
      </c>
      <c r="E1004" s="25" t="inlineStr">
        <is>
          <t>Mechanical Keyboard</t>
        </is>
      </c>
      <c r="F1004" s="25" t="n">
        <v>3</v>
      </c>
      <c r="G1004" s="25" t="n">
        <v>4200</v>
      </c>
      <c r="H1004" s="28" t="n">
        <v>0</v>
      </c>
      <c r="I1004" s="25" t="n">
        <v>2500</v>
      </c>
    </row>
    <row r="1005">
      <c r="A1005" s="25" t="inlineStr">
        <is>
          <t>ORD-10340</t>
        </is>
      </c>
      <c r="B1005" s="26" t="n">
        <v>46016</v>
      </c>
      <c r="C1005" s="25" t="inlineStr">
        <is>
          <t>East</t>
        </is>
      </c>
      <c r="D1005" s="25" t="inlineStr">
        <is>
          <t>Accessories</t>
        </is>
      </c>
      <c r="E1005" s="25" t="inlineStr">
        <is>
          <t>Webcam</t>
        </is>
      </c>
      <c r="F1005" s="25" t="n">
        <v>3</v>
      </c>
      <c r="G1005" s="25" t="n">
        <v>3200</v>
      </c>
      <c r="H1005" s="28" t="n">
        <v>0</v>
      </c>
      <c r="I1005" s="25" t="n">
        <v>1900</v>
      </c>
    </row>
    <row r="1006">
      <c r="A1006" s="25" t="inlineStr">
        <is>
          <t>ORD-10051</t>
        </is>
      </c>
      <c r="B1006" s="26" t="n">
        <v>45662</v>
      </c>
      <c r="C1006" s="25" t="inlineStr">
        <is>
          <t>South</t>
        </is>
      </c>
      <c r="D1006" s="25" t="inlineStr">
        <is>
          <t>Office Supplies</t>
        </is>
      </c>
      <c r="E1006" s="25" t="inlineStr">
        <is>
          <t>Printer Paper Box</t>
        </is>
      </c>
      <c r="F1006" s="25" t="n">
        <v>6</v>
      </c>
      <c r="G1006" s="25" t="n">
        <v>1600</v>
      </c>
      <c r="H1006" s="28" t="n">
        <v>0.2</v>
      </c>
      <c r="I1006" s="25" t="n">
        <v>1050</v>
      </c>
    </row>
    <row r="1007">
      <c r="A1007" s="25" t="inlineStr">
        <is>
          <t>ORD-10210</t>
        </is>
      </c>
      <c r="B1007" s="26" t="n">
        <v>45939</v>
      </c>
      <c r="C1007" s="25" t="inlineStr">
        <is>
          <t>South</t>
        </is>
      </c>
      <c r="D1007" s="25" t="inlineStr">
        <is>
          <t>Office Supplies</t>
        </is>
      </c>
      <c r="E1007" s="25" t="inlineStr">
        <is>
          <t>Desk Organizer</t>
        </is>
      </c>
      <c r="F1007" s="25" t="n">
        <v>5</v>
      </c>
      <c r="G1007" s="25" t="n">
        <v>850</v>
      </c>
      <c r="H1007" s="28" t="n">
        <v>0.2</v>
      </c>
      <c r="I1007" s="25" t="n">
        <v>420</v>
      </c>
    </row>
    <row r="1008">
      <c r="A1008" s="25" t="inlineStr">
        <is>
          <t>ORD-11126</t>
        </is>
      </c>
      <c r="B1008" s="26" t="n">
        <v>45699</v>
      </c>
      <c r="C1008" s="25" t="inlineStr">
        <is>
          <t>East</t>
        </is>
      </c>
      <c r="D1008" s="25" t="inlineStr">
        <is>
          <t>Accessories</t>
        </is>
      </c>
      <c r="E1008" s="25" t="inlineStr">
        <is>
          <t>Webcam</t>
        </is>
      </c>
      <c r="F1008" s="25" t="n">
        <v>3</v>
      </c>
      <c r="G1008" s="25" t="n">
        <v>3200</v>
      </c>
      <c r="H1008" s="28" t="n">
        <v>0.05</v>
      </c>
      <c r="I1008" s="25" t="n">
        <v>1900</v>
      </c>
    </row>
    <row r="1009">
      <c r="A1009" s="25" t="inlineStr">
        <is>
          <t>ORD-11172</t>
        </is>
      </c>
      <c r="B1009" s="26" t="n">
        <v>45706</v>
      </c>
      <c r="C1009" s="25" t="inlineStr">
        <is>
          <t>South</t>
        </is>
      </c>
      <c r="D1009" s="25" t="inlineStr">
        <is>
          <t>Technology</t>
        </is>
      </c>
      <c r="E1009" s="25" t="inlineStr">
        <is>
          <t>Monitor 24"</t>
        </is>
      </c>
      <c r="F1009" s="25" t="n">
        <v>1</v>
      </c>
      <c r="G1009" s="25" t="n">
        <v>11500</v>
      </c>
      <c r="H1009" s="28" t="n">
        <v>0</v>
      </c>
      <c r="I1009" s="25" t="n">
        <v>8200</v>
      </c>
    </row>
    <row r="1010">
      <c r="A1010" s="25" t="inlineStr">
        <is>
          <t>ORD-10251</t>
        </is>
      </c>
      <c r="B1010" s="26" t="n">
        <v>45932</v>
      </c>
      <c r="C1010" s="25" t="inlineStr">
        <is>
          <t>East</t>
        </is>
      </c>
      <c r="D1010" s="25" t="inlineStr">
        <is>
          <t>Office Supplies</t>
        </is>
      </c>
      <c r="E1010" s="25" t="inlineStr">
        <is>
          <t>Notebook Set</t>
        </is>
      </c>
      <c r="F1010" s="25" t="n">
        <v>2</v>
      </c>
      <c r="G1010" s="25" t="n">
        <v>450</v>
      </c>
      <c r="H1010" s="28" t="n">
        <v>0</v>
      </c>
      <c r="I1010" s="25" t="n">
        <v>190</v>
      </c>
    </row>
    <row r="1011">
      <c r="A1011" s="25" t="inlineStr">
        <is>
          <t>ORD-10707</t>
        </is>
      </c>
      <c r="B1011" s="26" t="n">
        <v>45793</v>
      </c>
      <c r="C1011" s="25" t="inlineStr">
        <is>
          <t>East</t>
        </is>
      </c>
      <c r="D1011" s="25" t="inlineStr">
        <is>
          <t>Furniture</t>
        </is>
      </c>
      <c r="E1011" s="25" t="inlineStr">
        <is>
          <t>Office Chair</t>
        </is>
      </c>
      <c r="F1011" s="25" t="n">
        <v>2</v>
      </c>
      <c r="G1011" s="25" t="n">
        <v>8500</v>
      </c>
      <c r="H1011" s="28" t="n">
        <v>0.15</v>
      </c>
      <c r="I1011" s="25" t="n">
        <v>5600</v>
      </c>
    </row>
    <row r="1012">
      <c r="A1012" s="25" t="inlineStr">
        <is>
          <t>ORD-10874</t>
        </is>
      </c>
      <c r="B1012" s="26" t="n">
        <v>45658</v>
      </c>
      <c r="C1012" s="25" t="inlineStr">
        <is>
          <t>West</t>
        </is>
      </c>
      <c r="D1012" s="25" t="inlineStr">
        <is>
          <t>Technology</t>
        </is>
      </c>
      <c r="E1012" s="25" t="inlineStr">
        <is>
          <t>Mechanical Keyboard</t>
        </is>
      </c>
      <c r="F1012" s="25" t="n">
        <v>3</v>
      </c>
      <c r="G1012" s="25" t="n">
        <v>4200</v>
      </c>
      <c r="H1012" s="28" t="n">
        <v>0.15</v>
      </c>
      <c r="I1012" s="25" t="n">
        <v>2500</v>
      </c>
    </row>
    <row r="1013">
      <c r="A1013" s="25" t="inlineStr">
        <is>
          <t>ORD-10168</t>
        </is>
      </c>
      <c r="B1013" s="26" t="n">
        <v>45681</v>
      </c>
      <c r="C1013" s="25" t="inlineStr">
        <is>
          <t>West</t>
        </is>
      </c>
      <c r="D1013" s="25" t="inlineStr">
        <is>
          <t>Furniture</t>
        </is>
      </c>
      <c r="E1013" s="25" t="inlineStr">
        <is>
          <t>Office Chair</t>
        </is>
      </c>
      <c r="F1013" s="25" t="n">
        <v>2</v>
      </c>
      <c r="G1013" s="25" t="n">
        <v>8500</v>
      </c>
      <c r="H1013" s="28" t="n">
        <v>0.1</v>
      </c>
      <c r="I1013" s="25" t="n">
        <v>5600</v>
      </c>
    </row>
    <row r="1014">
      <c r="A1014" s="25" t="inlineStr">
        <is>
          <t>ORD-10933</t>
        </is>
      </c>
      <c r="B1014" s="25" t="inlineStr">
        <is>
          <t>27-Dec-2025</t>
        </is>
      </c>
      <c r="C1014" s="25" t="inlineStr">
        <is>
          <t>South</t>
        </is>
      </c>
      <c r="D1014" s="25" t="inlineStr">
        <is>
          <t>Accessories</t>
        </is>
      </c>
      <c r="E1014" s="25" t="inlineStr">
        <is>
          <t>Headphones</t>
        </is>
      </c>
      <c r="F1014" s="25" t="n">
        <v>1</v>
      </c>
      <c r="G1014" s="25" t="n">
        <v>4500</v>
      </c>
      <c r="H1014" s="28" t="n">
        <v>0</v>
      </c>
      <c r="I1014" s="25" t="n">
        <v>2600</v>
      </c>
    </row>
    <row r="1015">
      <c r="A1015" s="25" t="inlineStr">
        <is>
          <t>ORD-10004</t>
        </is>
      </c>
      <c r="B1015" s="26" t="n">
        <v>45659</v>
      </c>
      <c r="C1015" s="25" t="inlineStr">
        <is>
          <t>North</t>
        </is>
      </c>
      <c r="D1015" s="25" t="inlineStr">
        <is>
          <t>Accessories</t>
        </is>
      </c>
      <c r="E1015" s="25" t="inlineStr">
        <is>
          <t>Webcam</t>
        </is>
      </c>
      <c r="F1015" s="25" t="n">
        <v>1</v>
      </c>
      <c r="G1015" s="25" t="n">
        <v>3200</v>
      </c>
      <c r="H1015" s="28" t="n">
        <v>0</v>
      </c>
      <c r="I1015" s="25" t="n">
        <v>1900</v>
      </c>
    </row>
    <row r="1016">
      <c r="A1016" s="25" t="inlineStr">
        <is>
          <t>ORD-10843</t>
        </is>
      </c>
      <c r="B1016" s="26" t="n">
        <v>45738</v>
      </c>
      <c r="C1016" s="25" t="inlineStr">
        <is>
          <t xml:space="preserve">South </t>
        </is>
      </c>
      <c r="D1016" s="25" t="inlineStr">
        <is>
          <t>Accessories</t>
        </is>
      </c>
      <c r="E1016" s="25" t="inlineStr">
        <is>
          <t>Webcam</t>
        </is>
      </c>
      <c r="F1016" s="25" t="n">
        <v>2</v>
      </c>
      <c r="G1016" s="25" t="n">
        <v>3200</v>
      </c>
      <c r="H1016" s="28" t="n">
        <v>0</v>
      </c>
      <c r="I1016" s="25" t="n">
        <v>1900</v>
      </c>
    </row>
    <row r="1017">
      <c r="A1017" s="25" t="inlineStr">
        <is>
          <t>ORD-10942</t>
        </is>
      </c>
      <c r="B1017" s="26" t="n">
        <v>45922</v>
      </c>
      <c r="C1017" s="25" t="inlineStr">
        <is>
          <t>East</t>
        </is>
      </c>
      <c r="D1017" s="25" t="inlineStr">
        <is>
          <t>Accessories</t>
        </is>
      </c>
      <c r="E1017" s="25" t="inlineStr">
        <is>
          <t>USB-C Hub</t>
        </is>
      </c>
      <c r="F1017" s="25" t="n">
        <v>2</v>
      </c>
      <c r="G1017" s="25" t="n">
        <v>1800</v>
      </c>
      <c r="H1017" s="28" t="n">
        <v>0.05</v>
      </c>
      <c r="I1017" s="25" t="n">
        <v>980</v>
      </c>
    </row>
    <row r="1018">
      <c r="A1018" s="25" t="inlineStr">
        <is>
          <t>ORD-10393</t>
        </is>
      </c>
      <c r="B1018" s="26" t="n">
        <v>45722</v>
      </c>
      <c r="C1018" s="25" t="inlineStr">
        <is>
          <t>West</t>
        </is>
      </c>
      <c r="D1018" s="25" t="inlineStr">
        <is>
          <t>Accessories</t>
        </is>
      </c>
      <c r="E1018" s="25" t="inlineStr">
        <is>
          <t>Webcam</t>
        </is>
      </c>
      <c r="F1018" s="25" t="n">
        <v>3</v>
      </c>
      <c r="G1018" s="25" t="n">
        <v>3200</v>
      </c>
      <c r="H1018" s="28" t="n">
        <v>0</v>
      </c>
      <c r="I1018" s="25" t="n">
        <v>1900</v>
      </c>
    </row>
    <row r="1019">
      <c r="A1019" s="25" t="inlineStr">
        <is>
          <t>ORD-10134</t>
        </is>
      </c>
      <c r="B1019" s="25" t="inlineStr">
        <is>
          <t>11-Oct-2025</t>
        </is>
      </c>
      <c r="C1019" s="25" t="inlineStr">
        <is>
          <t>North</t>
        </is>
      </c>
      <c r="D1019" s="25" t="inlineStr">
        <is>
          <t>Office Supplies</t>
        </is>
      </c>
      <c r="E1019" s="25" t="inlineStr">
        <is>
          <t>Desk Organizer</t>
        </is>
      </c>
      <c r="F1019" s="25" t="n">
        <v>5</v>
      </c>
      <c r="G1019" s="25" t="n">
        <v>850</v>
      </c>
      <c r="H1019" s="28" t="n">
        <v>0</v>
      </c>
      <c r="I1019" s="25" t="n">
        <v>420</v>
      </c>
    </row>
    <row r="1020">
      <c r="A1020" s="25" t="inlineStr">
        <is>
          <t>ORD-10704</t>
        </is>
      </c>
      <c r="B1020" s="26" t="n">
        <v>45986</v>
      </c>
      <c r="C1020" s="25" t="inlineStr">
        <is>
          <t>West</t>
        </is>
      </c>
      <c r="D1020" s="25" t="inlineStr">
        <is>
          <t>Accessories</t>
        </is>
      </c>
      <c r="E1020" s="25" t="inlineStr">
        <is>
          <t>USB-C Hub</t>
        </is>
      </c>
      <c r="F1020" s="25" t="n">
        <v>1</v>
      </c>
      <c r="G1020" s="25" t="n">
        <v>1800</v>
      </c>
      <c r="H1020" s="28" t="n">
        <v>0</v>
      </c>
      <c r="I1020" s="25" t="n">
        <v>980</v>
      </c>
    </row>
    <row r="1021">
      <c r="A1021" s="25" t="inlineStr">
        <is>
          <t>ORD-10638</t>
        </is>
      </c>
      <c r="B1021" s="26" t="n">
        <v>45839</v>
      </c>
      <c r="C1021" s="25" t="inlineStr">
        <is>
          <t>North</t>
        </is>
      </c>
      <c r="D1021" s="25" t="inlineStr">
        <is>
          <t>Furniture</t>
        </is>
      </c>
      <c r="E1021" s="25" t="inlineStr">
        <is>
          <t>Bookshelf</t>
        </is>
      </c>
      <c r="F1021" s="25" t="n">
        <v>3</v>
      </c>
      <c r="G1021" s="25" t="n">
        <v>6200</v>
      </c>
      <c r="H1021" s="28" t="n">
        <v>0</v>
      </c>
      <c r="I1021" s="25" t="n">
        <v>4100</v>
      </c>
    </row>
    <row r="1022">
      <c r="A1022" s="25" t="inlineStr">
        <is>
          <t>ORD-10639</t>
        </is>
      </c>
      <c r="B1022" s="25" t="inlineStr">
        <is>
          <t>28-Apr-2025</t>
        </is>
      </c>
      <c r="C1022" s="25" t="inlineStr">
        <is>
          <t>East</t>
        </is>
      </c>
      <c r="D1022" s="25" t="inlineStr">
        <is>
          <t>Accessories</t>
        </is>
      </c>
      <c r="E1022" s="25" t="inlineStr">
        <is>
          <t>Headphones</t>
        </is>
      </c>
      <c r="F1022" s="25" t="n">
        <v>2</v>
      </c>
      <c r="G1022" s="25" t="n">
        <v>4500</v>
      </c>
      <c r="H1022" s="28" t="n">
        <v>0.1</v>
      </c>
      <c r="I1022" s="25" t="n">
        <v>2600</v>
      </c>
    </row>
    <row r="1023">
      <c r="A1023" s="25" t="inlineStr">
        <is>
          <t>ORD-10710</t>
        </is>
      </c>
      <c r="B1023" s="25" t="inlineStr">
        <is>
          <t>23-Jul-2025</t>
        </is>
      </c>
      <c r="C1023" s="25" t="inlineStr">
        <is>
          <t>East</t>
        </is>
      </c>
      <c r="D1023" s="25" t="inlineStr">
        <is>
          <t>Accessories</t>
        </is>
      </c>
      <c r="E1023" s="25" t="inlineStr">
        <is>
          <t>Headphones</t>
        </is>
      </c>
      <c r="F1023" s="25" t="n">
        <v>2</v>
      </c>
      <c r="G1023" s="25" t="n">
        <v>4500</v>
      </c>
      <c r="H1023" s="28" t="n">
        <v>0</v>
      </c>
      <c r="I1023" s="25" t="n">
        <v>2600</v>
      </c>
    </row>
    <row r="1024">
      <c r="A1024" s="25" t="inlineStr">
        <is>
          <t>ORD-10609</t>
        </is>
      </c>
      <c r="B1024" s="26" t="n">
        <v>45711</v>
      </c>
      <c r="C1024" s="25" t="inlineStr">
        <is>
          <t>South</t>
        </is>
      </c>
      <c r="D1024" s="25" t="inlineStr">
        <is>
          <t>Office Supplies</t>
        </is>
      </c>
      <c r="E1024" s="25" t="inlineStr">
        <is>
          <t>Desk Organizer</t>
        </is>
      </c>
      <c r="F1024" s="25" t="n">
        <v>5</v>
      </c>
      <c r="G1024" s="25" t="n">
        <v>850</v>
      </c>
      <c r="H1024" s="28" t="n">
        <v>0</v>
      </c>
      <c r="I1024" s="25" t="n">
        <v>420</v>
      </c>
    </row>
    <row r="1025">
      <c r="A1025" s="25" t="inlineStr">
        <is>
          <t>ORD-11038</t>
        </is>
      </c>
      <c r="B1025" s="26" t="n">
        <v>46018</v>
      </c>
      <c r="C1025" s="25" t="inlineStr">
        <is>
          <t>South</t>
        </is>
      </c>
      <c r="D1025" s="25" t="inlineStr">
        <is>
          <t>Accessories</t>
        </is>
      </c>
      <c r="E1025" s="25" t="inlineStr">
        <is>
          <t>Webcam</t>
        </is>
      </c>
      <c r="F1025" s="25" t="n">
        <v>1</v>
      </c>
      <c r="G1025" s="25" t="n">
        <v>3200</v>
      </c>
      <c r="H1025" s="28" t="n">
        <v>0.2</v>
      </c>
      <c r="I1025" s="25" t="n">
        <v>1900</v>
      </c>
    </row>
    <row r="1026">
      <c r="A1026" s="25" t="inlineStr">
        <is>
          <t>ORD-11011</t>
        </is>
      </c>
      <c r="B1026" s="25" t="inlineStr">
        <is>
          <t>15-Dec-2025</t>
        </is>
      </c>
      <c r="C1026" s="25" t="inlineStr">
        <is>
          <t>West</t>
        </is>
      </c>
      <c r="D1026" s="25" t="inlineStr">
        <is>
          <t>Office Supplies</t>
        </is>
      </c>
      <c r="E1026" s="25" t="inlineStr">
        <is>
          <t>Printer Paper Box</t>
        </is>
      </c>
      <c r="F1026" s="25" t="n">
        <v>5</v>
      </c>
      <c r="G1026" s="25" t="n">
        <v>1600</v>
      </c>
      <c r="H1026" s="28" t="n">
        <v>0.05</v>
      </c>
      <c r="I1026" s="25" t="n">
        <v>1050</v>
      </c>
    </row>
    <row r="1027">
      <c r="A1027" s="25" t="inlineStr">
        <is>
          <t>ORD-11026</t>
        </is>
      </c>
      <c r="B1027" s="26" t="n">
        <v>45856</v>
      </c>
      <c r="C1027" s="25" t="inlineStr">
        <is>
          <t>East</t>
        </is>
      </c>
      <c r="D1027" s="25" t="inlineStr">
        <is>
          <t>Office Supplies</t>
        </is>
      </c>
      <c r="E1027" s="25" t="inlineStr">
        <is>
          <t>Notebook Set</t>
        </is>
      </c>
      <c r="F1027" s="25" t="n">
        <v>1</v>
      </c>
      <c r="G1027" s="25" t="n">
        <v>450</v>
      </c>
      <c r="H1027" s="28" t="n">
        <v>0</v>
      </c>
      <c r="I1027" s="25" t="n">
        <v>190</v>
      </c>
    </row>
    <row r="1028">
      <c r="A1028" s="25" t="inlineStr">
        <is>
          <t>ORD-10371</t>
        </is>
      </c>
      <c r="B1028" s="25" t="inlineStr">
        <is>
          <t>28-Jul-2025</t>
        </is>
      </c>
      <c r="C1028" s="25" t="inlineStr">
        <is>
          <t>south</t>
        </is>
      </c>
      <c r="D1028" s="25" t="inlineStr">
        <is>
          <t>Technology</t>
        </is>
      </c>
      <c r="E1028" s="25" t="inlineStr">
        <is>
          <t>Mechanical Keyboard</t>
        </is>
      </c>
      <c r="F1028" s="25" t="n">
        <v>1</v>
      </c>
      <c r="G1028" s="25" t="n">
        <v>4200</v>
      </c>
      <c r="H1028" s="28" t="n">
        <v>0.15</v>
      </c>
      <c r="I1028" s="25" t="n">
        <v>2500</v>
      </c>
    </row>
    <row r="1029">
      <c r="A1029" s="25" t="inlineStr">
        <is>
          <t>ORD-10941</t>
        </is>
      </c>
      <c r="B1029" s="26" t="n">
        <v>45955</v>
      </c>
      <c r="C1029" s="25" t="inlineStr">
        <is>
          <t>East</t>
        </is>
      </c>
      <c r="D1029" s="25" t="inlineStr">
        <is>
          <t>Accessories</t>
        </is>
      </c>
      <c r="E1029" s="25" t="inlineStr">
        <is>
          <t>Webcam</t>
        </is>
      </c>
      <c r="F1029" s="25" t="n">
        <v>1</v>
      </c>
      <c r="G1029" s="25" t="n">
        <v>3200</v>
      </c>
      <c r="H1029" s="28" t="n">
        <v>0</v>
      </c>
      <c r="I1029" s="25" t="n">
        <v>1900</v>
      </c>
    </row>
    <row r="1030">
      <c r="A1030" s="25" t="inlineStr">
        <is>
          <t>ORD-11195</t>
        </is>
      </c>
      <c r="B1030" s="25" t="inlineStr">
        <is>
          <t>17-Oct-2025</t>
        </is>
      </c>
      <c r="C1030" s="25" t="inlineStr">
        <is>
          <t>West</t>
        </is>
      </c>
      <c r="D1030" s="25" t="inlineStr">
        <is>
          <t>Office Supplies</t>
        </is>
      </c>
      <c r="E1030" s="25" t="inlineStr">
        <is>
          <t>Desk Organizer</t>
        </is>
      </c>
      <c r="F1030" s="25" t="n">
        <v>3</v>
      </c>
      <c r="G1030" s="25" t="n">
        <v>850</v>
      </c>
      <c r="H1030" s="28" t="n">
        <v>0</v>
      </c>
      <c r="I1030" s="25" t="n">
        <v>420</v>
      </c>
    </row>
    <row r="1031">
      <c r="A1031" s="25" t="inlineStr">
        <is>
          <t>ORD-10006</t>
        </is>
      </c>
      <c r="B1031" s="26" t="n">
        <v>45680</v>
      </c>
      <c r="C1031" s="25" t="inlineStr">
        <is>
          <t>North</t>
        </is>
      </c>
      <c r="D1031" s="25" t="inlineStr">
        <is>
          <t>Accessories</t>
        </is>
      </c>
      <c r="E1031" s="25" t="inlineStr">
        <is>
          <t>Headphones</t>
        </is>
      </c>
      <c r="F1031" s="25" t="n">
        <v>3</v>
      </c>
      <c r="G1031" s="25" t="n">
        <v>4500</v>
      </c>
      <c r="H1031" s="28" t="n">
        <v>0.15</v>
      </c>
      <c r="I1031" s="25" t="n">
        <v>2600</v>
      </c>
    </row>
    <row r="1032">
      <c r="A1032" s="25" t="inlineStr">
        <is>
          <t>ORD-10199</t>
        </is>
      </c>
      <c r="B1032" s="25" t="inlineStr">
        <is>
          <t>02-Nov-2025</t>
        </is>
      </c>
      <c r="C1032" s="25" t="inlineStr">
        <is>
          <t>East</t>
        </is>
      </c>
      <c r="D1032" s="25" t="inlineStr">
        <is>
          <t>Office Supplies</t>
        </is>
      </c>
      <c r="E1032" s="25" t="inlineStr">
        <is>
          <t>Notebook Set</t>
        </is>
      </c>
      <c r="F1032" s="25" t="n">
        <v>2</v>
      </c>
      <c r="G1032" s="25" t="n">
        <v>450</v>
      </c>
      <c r="H1032" s="28" t="n">
        <v>0</v>
      </c>
      <c r="I1032" s="25" t="n">
        <v>190</v>
      </c>
    </row>
    <row r="1033">
      <c r="A1033" s="25" t="inlineStr">
        <is>
          <t>ORD-10681</t>
        </is>
      </c>
      <c r="B1033" s="26" t="n">
        <v>46001</v>
      </c>
      <c r="C1033" s="25" t="inlineStr">
        <is>
          <t xml:space="preserve"> East</t>
        </is>
      </c>
      <c r="D1033" s="25" t="inlineStr">
        <is>
          <t>Technology</t>
        </is>
      </c>
      <c r="E1033" s="25" t="inlineStr">
        <is>
          <t>Wireless Mouse</t>
        </is>
      </c>
      <c r="F1033" s="25" t="n">
        <v>2</v>
      </c>
      <c r="G1033" s="25" t="n">
        <v>1200</v>
      </c>
      <c r="H1033" s="28" t="n">
        <v>0.05</v>
      </c>
      <c r="I1033" s="25" t="n">
        <v>650</v>
      </c>
    </row>
    <row r="1034">
      <c r="A1034" s="25" t="inlineStr">
        <is>
          <t>ORD-10414</t>
        </is>
      </c>
      <c r="B1034" s="26" t="n">
        <v>45818</v>
      </c>
      <c r="C1034" s="25" t="inlineStr">
        <is>
          <t>North</t>
        </is>
      </c>
      <c r="D1034" s="25" t="inlineStr">
        <is>
          <t>Technology</t>
        </is>
      </c>
      <c r="E1034" s="25" t="inlineStr">
        <is>
          <t>Monitor 24"</t>
        </is>
      </c>
      <c r="F1034" s="25" t="n">
        <v>1</v>
      </c>
      <c r="G1034" s="25" t="n">
        <v>11500</v>
      </c>
      <c r="H1034" s="28" t="n">
        <v>0.05</v>
      </c>
      <c r="I1034" s="25" t="n">
        <v>8200</v>
      </c>
    </row>
    <row r="1035">
      <c r="A1035" s="25" t="inlineStr">
        <is>
          <t>ORD-10665</t>
        </is>
      </c>
      <c r="B1035" s="25" t="inlineStr">
        <is>
          <t>06-Sep-2025</t>
        </is>
      </c>
      <c r="C1035" s="25" t="inlineStr">
        <is>
          <t>South</t>
        </is>
      </c>
      <c r="D1035" s="25" t="inlineStr">
        <is>
          <t>Office Supplies</t>
        </is>
      </c>
      <c r="E1035" s="25" t="inlineStr">
        <is>
          <t>Notebook Set</t>
        </is>
      </c>
      <c r="F1035" s="25" t="n">
        <v>3</v>
      </c>
      <c r="G1035" s="25" t="n">
        <v>450</v>
      </c>
      <c r="H1035" s="28" t="n">
        <v>0.05</v>
      </c>
      <c r="I1035" s="25" t="n">
        <v>190</v>
      </c>
    </row>
    <row r="1036">
      <c r="A1036" s="25" t="inlineStr">
        <is>
          <t>ORD-10769</t>
        </is>
      </c>
      <c r="B1036" s="26" t="n">
        <v>45719</v>
      </c>
      <c r="C1036" s="25" t="inlineStr">
        <is>
          <t>West</t>
        </is>
      </c>
      <c r="D1036" s="25" t="inlineStr">
        <is>
          <t>Office Supplies</t>
        </is>
      </c>
      <c r="E1036" s="25" t="inlineStr">
        <is>
          <t>Desk Organizer</t>
        </is>
      </c>
      <c r="F1036" s="25" t="n">
        <v>1</v>
      </c>
      <c r="G1036" s="25" t="n">
        <v>850</v>
      </c>
      <c r="H1036" s="28" t="n">
        <v>0</v>
      </c>
      <c r="I1036" s="25" t="n">
        <v>420</v>
      </c>
    </row>
    <row r="1037">
      <c r="A1037" s="25" t="inlineStr">
        <is>
          <t>ORD-10663</t>
        </is>
      </c>
      <c r="B1037" s="26" t="n">
        <v>46005</v>
      </c>
      <c r="C1037" s="25" t="inlineStr">
        <is>
          <t xml:space="preserve">West </t>
        </is>
      </c>
      <c r="D1037" s="25" t="inlineStr">
        <is>
          <t>Technology</t>
        </is>
      </c>
      <c r="E1037" s="25" t="inlineStr">
        <is>
          <t>Mechanical Keyboard</t>
        </is>
      </c>
      <c r="F1037" s="25" t="n">
        <v>2</v>
      </c>
      <c r="G1037" s="25" t="n">
        <v>4200</v>
      </c>
      <c r="H1037" s="28" t="n">
        <v>0</v>
      </c>
      <c r="I1037" s="25" t="n">
        <v>2500</v>
      </c>
    </row>
    <row r="1038">
      <c r="A1038" s="25" t="inlineStr">
        <is>
          <t>ORD-10048</t>
        </is>
      </c>
      <c r="B1038" s="25" t="inlineStr">
        <is>
          <t>01-Nov-2025</t>
        </is>
      </c>
      <c r="C1038" s="25" t="inlineStr">
        <is>
          <t>north</t>
        </is>
      </c>
      <c r="D1038" s="25" t="inlineStr">
        <is>
          <t>Office Supplies</t>
        </is>
      </c>
      <c r="E1038" s="25" t="inlineStr">
        <is>
          <t>Notebook Set</t>
        </is>
      </c>
      <c r="F1038" s="25" t="n">
        <v>2</v>
      </c>
      <c r="G1038" s="25" t="n">
        <v>450</v>
      </c>
      <c r="H1038" s="28" t="n">
        <v>0</v>
      </c>
      <c r="I1038" s="25" t="n">
        <v>190</v>
      </c>
    </row>
    <row r="1039">
      <c r="A1039" s="25" t="inlineStr">
        <is>
          <t>ORD-10392</t>
        </is>
      </c>
      <c r="B1039" s="26" t="n">
        <v>45772</v>
      </c>
      <c r="C1039" s="25" t="inlineStr">
        <is>
          <t>North</t>
        </is>
      </c>
      <c r="D1039" s="25" t="inlineStr">
        <is>
          <t>Technology</t>
        </is>
      </c>
      <c r="E1039" s="25" t="inlineStr">
        <is>
          <t>Monitor 24"</t>
        </is>
      </c>
      <c r="F1039" s="25" t="n">
        <v>1</v>
      </c>
      <c r="G1039" s="25" t="n">
        <v>11500</v>
      </c>
      <c r="H1039" s="28" t="n">
        <v>0.15</v>
      </c>
      <c r="I1039" s="25" t="n">
        <v>8200</v>
      </c>
    </row>
    <row r="1040">
      <c r="A1040" s="25" t="inlineStr">
        <is>
          <t>ORD-10035</t>
        </is>
      </c>
      <c r="B1040" s="25" t="inlineStr">
        <is>
          <t>04-Feb-2025</t>
        </is>
      </c>
      <c r="C1040" s="25" t="inlineStr">
        <is>
          <t>West</t>
        </is>
      </c>
      <c r="D1040" s="25" t="inlineStr">
        <is>
          <t>Accessories</t>
        </is>
      </c>
      <c r="E1040" s="25" t="inlineStr">
        <is>
          <t>Headphones</t>
        </is>
      </c>
      <c r="F1040" s="25" t="n">
        <v>3</v>
      </c>
      <c r="G1040" s="25" t="n">
        <v>4500</v>
      </c>
      <c r="H1040" s="28" t="n">
        <v>0.05</v>
      </c>
      <c r="I1040" s="25" t="n">
        <v>2600</v>
      </c>
    </row>
    <row r="1041">
      <c r="A1041" s="25" t="inlineStr">
        <is>
          <t>ORD-10573</t>
        </is>
      </c>
      <c r="B1041" s="25" t="inlineStr">
        <is>
          <t>10-May-2025</t>
        </is>
      </c>
      <c r="C1041" s="25" t="inlineStr">
        <is>
          <t>South</t>
        </is>
      </c>
      <c r="D1041" s="25" t="inlineStr">
        <is>
          <t>Accessories</t>
        </is>
      </c>
      <c r="E1041" s="25" t="inlineStr">
        <is>
          <t>Webcam</t>
        </is>
      </c>
      <c r="F1041" s="25" t="n">
        <v>3</v>
      </c>
      <c r="G1041" s="25" t="n">
        <v>3200</v>
      </c>
      <c r="H1041" s="28" t="n">
        <v>0</v>
      </c>
      <c r="I1041" s="25" t="n">
        <v>1900</v>
      </c>
    </row>
    <row r="1042">
      <c r="A1042" s="25" t="inlineStr">
        <is>
          <t>ORD-10565</t>
        </is>
      </c>
      <c r="B1042" s="26" t="n">
        <v>45830</v>
      </c>
      <c r="C1042" s="25" t="inlineStr">
        <is>
          <t>South</t>
        </is>
      </c>
      <c r="D1042" s="25" t="inlineStr">
        <is>
          <t>Technology</t>
        </is>
      </c>
      <c r="E1042" s="25" t="inlineStr">
        <is>
          <t>Mechanical Keyboard</t>
        </is>
      </c>
      <c r="F1042" s="25" t="n">
        <v>3</v>
      </c>
      <c r="G1042" s="25" t="n">
        <v>4200</v>
      </c>
      <c r="H1042" s="28" t="n">
        <v>0</v>
      </c>
      <c r="I1042" s="25" t="n">
        <v>2500</v>
      </c>
    </row>
    <row r="1043">
      <c r="A1043" s="25" t="inlineStr">
        <is>
          <t>ORD-10700</t>
        </is>
      </c>
      <c r="B1043" s="26" t="n">
        <v>45908</v>
      </c>
      <c r="C1043" s="25" t="inlineStr">
        <is>
          <t>North</t>
        </is>
      </c>
      <c r="D1043" s="25" t="inlineStr">
        <is>
          <t>Office Supplies</t>
        </is>
      </c>
      <c r="E1043" s="25" t="inlineStr">
        <is>
          <t>Desk Organizer</t>
        </is>
      </c>
      <c r="F1043" s="25" t="n">
        <v>4</v>
      </c>
      <c r="G1043" s="25" t="n">
        <v>850</v>
      </c>
      <c r="H1043" s="28" t="n">
        <v>0</v>
      </c>
      <c r="I1043" s="25" t="n">
        <v>420</v>
      </c>
    </row>
    <row r="1044">
      <c r="A1044" s="25" t="inlineStr">
        <is>
          <t>ORD-11159</t>
        </is>
      </c>
      <c r="B1044" s="26" t="n">
        <v>45782</v>
      </c>
      <c r="C1044" s="25" t="inlineStr">
        <is>
          <t>East</t>
        </is>
      </c>
      <c r="D1044" s="25" t="inlineStr">
        <is>
          <t>Technology</t>
        </is>
      </c>
      <c r="E1044" s="25" t="inlineStr">
        <is>
          <t>Monitor 24"</t>
        </is>
      </c>
      <c r="F1044" s="25" t="n">
        <v>1</v>
      </c>
      <c r="G1044" s="25" t="n">
        <v>11500</v>
      </c>
      <c r="H1044" s="28" t="n">
        <v>0</v>
      </c>
      <c r="I1044" s="25" t="n">
        <v>8200</v>
      </c>
    </row>
    <row r="1045">
      <c r="A1045" s="25" t="inlineStr">
        <is>
          <t>ORD-10694</t>
        </is>
      </c>
      <c r="B1045" s="26" t="n">
        <v>45973</v>
      </c>
      <c r="C1045" s="25" t="inlineStr">
        <is>
          <t>South</t>
        </is>
      </c>
      <c r="D1045" s="25" t="inlineStr">
        <is>
          <t>Furniture</t>
        </is>
      </c>
      <c r="E1045" s="25" t="inlineStr">
        <is>
          <t>Bookshelf</t>
        </is>
      </c>
      <c r="F1045" s="25" t="n">
        <v>2</v>
      </c>
      <c r="G1045" s="25" t="n">
        <v>6200</v>
      </c>
      <c r="H1045" s="28" t="n">
        <v>0</v>
      </c>
      <c r="I1045" s="25" t="n">
        <v>4100</v>
      </c>
    </row>
    <row r="1046">
      <c r="A1046" s="25" t="inlineStr">
        <is>
          <t>ORD-10263</t>
        </is>
      </c>
      <c r="B1046" s="25" t="inlineStr">
        <is>
          <t>19-Nov-2025</t>
        </is>
      </c>
      <c r="C1046" s="25" t="inlineStr">
        <is>
          <t>East</t>
        </is>
      </c>
      <c r="D1046" s="25" t="inlineStr">
        <is>
          <t>Office Supplies</t>
        </is>
      </c>
      <c r="E1046" s="25" t="inlineStr">
        <is>
          <t>Notebook Set</t>
        </is>
      </c>
      <c r="F1046" s="25" t="n">
        <v>5</v>
      </c>
      <c r="G1046" s="25" t="n">
        <v>450</v>
      </c>
      <c r="H1046" s="28" t="n">
        <v>0.15</v>
      </c>
      <c r="I1046" s="25" t="n">
        <v>190</v>
      </c>
    </row>
    <row r="1047">
      <c r="A1047" s="25" t="inlineStr">
        <is>
          <t>ORD-10965</t>
        </is>
      </c>
      <c r="B1047" s="26" t="n">
        <v>45915</v>
      </c>
      <c r="C1047" s="25" t="inlineStr">
        <is>
          <t>North</t>
        </is>
      </c>
      <c r="D1047" s="25" t="inlineStr">
        <is>
          <t>Furniture</t>
        </is>
      </c>
      <c r="E1047" s="25" t="inlineStr">
        <is>
          <t>Standing Desk</t>
        </is>
      </c>
      <c r="F1047" s="25" t="n">
        <v>1</v>
      </c>
      <c r="G1047" s="25" t="n">
        <v>19500</v>
      </c>
      <c r="H1047" s="28" t="n">
        <v>0.2</v>
      </c>
      <c r="I1047" s="25" t="n">
        <v>13800</v>
      </c>
    </row>
    <row r="1048">
      <c r="A1048" s="25" t="inlineStr">
        <is>
          <t>ORD-10672</t>
        </is>
      </c>
      <c r="B1048" s="25" t="inlineStr">
        <is>
          <t>14-Nov-2025</t>
        </is>
      </c>
      <c r="C1048" s="25" t="inlineStr">
        <is>
          <t>South</t>
        </is>
      </c>
      <c r="D1048" s="25" t="inlineStr">
        <is>
          <t>Office Supplies</t>
        </is>
      </c>
      <c r="E1048" s="25" t="inlineStr">
        <is>
          <t>Desk Organizer</t>
        </is>
      </c>
      <c r="F1048" s="25" t="n">
        <v>5</v>
      </c>
      <c r="G1048" s="25" t="n">
        <v>850</v>
      </c>
      <c r="H1048" s="28" t="n">
        <v>0</v>
      </c>
      <c r="I1048" s="25" t="n">
        <v>420</v>
      </c>
    </row>
    <row r="1049">
      <c r="A1049" s="25" t="inlineStr">
        <is>
          <t>ORD-10068</t>
        </is>
      </c>
      <c r="B1049" s="26" t="n">
        <v>46008</v>
      </c>
      <c r="C1049" s="25" t="inlineStr">
        <is>
          <t xml:space="preserve"> North </t>
        </is>
      </c>
      <c r="D1049" s="25" t="inlineStr">
        <is>
          <t>Technology</t>
        </is>
      </c>
      <c r="E1049" s="25" t="inlineStr">
        <is>
          <t>Mechanical Keyboard</t>
        </is>
      </c>
      <c r="F1049" s="25" t="n">
        <v>1</v>
      </c>
      <c r="G1049" s="25" t="n">
        <v>4200</v>
      </c>
      <c r="H1049" s="28" t="n">
        <v>0</v>
      </c>
      <c r="I1049" s="25" t="n">
        <v>2500</v>
      </c>
    </row>
    <row r="1050">
      <c r="A1050" s="25" t="inlineStr">
        <is>
          <t>ORD-11132</t>
        </is>
      </c>
      <c r="B1050" s="26" t="n">
        <v>45997</v>
      </c>
      <c r="C1050" s="25" t="inlineStr">
        <is>
          <t>West</t>
        </is>
      </c>
      <c r="D1050" s="25" t="inlineStr">
        <is>
          <t>Office Supplies</t>
        </is>
      </c>
      <c r="E1050" s="25" t="inlineStr">
        <is>
          <t>Notebook Set</t>
        </is>
      </c>
      <c r="F1050" s="25" t="n">
        <v>2</v>
      </c>
      <c r="G1050" s="25" t="n">
        <v>450</v>
      </c>
      <c r="H1050" s="28" t="n">
        <v>0.05</v>
      </c>
      <c r="I1050" s="25" t="n">
        <v>190</v>
      </c>
    </row>
    <row r="1051">
      <c r="A1051" s="25" t="inlineStr">
        <is>
          <t>ORD-10140</t>
        </is>
      </c>
      <c r="B1051" s="25" t="inlineStr">
        <is>
          <t>12-Oct-2025</t>
        </is>
      </c>
      <c r="C1051" s="25" t="inlineStr">
        <is>
          <t>West</t>
        </is>
      </c>
      <c r="D1051" s="25" t="inlineStr">
        <is>
          <t>Accessories</t>
        </is>
      </c>
      <c r="E1051" s="25" t="inlineStr">
        <is>
          <t>USB-C Hub</t>
        </is>
      </c>
      <c r="F1051" s="25" t="n">
        <v>3</v>
      </c>
      <c r="G1051" s="25" t="n">
        <v>1800</v>
      </c>
      <c r="H1051" s="28" t="n">
        <v>0.15</v>
      </c>
      <c r="I1051" s="25" t="n">
        <v>980</v>
      </c>
    </row>
    <row r="1052">
      <c r="A1052" s="25" t="inlineStr">
        <is>
          <t>ORD-10030</t>
        </is>
      </c>
      <c r="B1052" s="26" t="n">
        <v>45677</v>
      </c>
      <c r="C1052" s="25" t="inlineStr">
        <is>
          <t>West</t>
        </is>
      </c>
      <c r="D1052" s="25" t="inlineStr">
        <is>
          <t>Technology</t>
        </is>
      </c>
      <c r="E1052" s="25" t="inlineStr">
        <is>
          <t>Mechanical Keyboard</t>
        </is>
      </c>
      <c r="F1052" s="25" t="n">
        <v>2</v>
      </c>
      <c r="G1052" s="25" t="n">
        <v>4200</v>
      </c>
      <c r="H1052" s="28" t="n">
        <v>0.05</v>
      </c>
      <c r="I1052" s="25" t="n">
        <v>2500</v>
      </c>
    </row>
    <row r="1053">
      <c r="A1053" s="25" t="inlineStr">
        <is>
          <t>ORD-10426</t>
        </is>
      </c>
      <c r="B1053" s="26" t="n">
        <v>45694</v>
      </c>
      <c r="C1053" s="25" t="inlineStr">
        <is>
          <t>East</t>
        </is>
      </c>
      <c r="D1053" s="25" t="inlineStr">
        <is>
          <t>Office Supplies</t>
        </is>
      </c>
      <c r="E1053" s="25" t="inlineStr">
        <is>
          <t>Desk Organizer</t>
        </is>
      </c>
      <c r="F1053" s="25" t="n">
        <v>4</v>
      </c>
      <c r="G1053" s="25" t="n">
        <v>850</v>
      </c>
      <c r="H1053" s="28" t="n">
        <v>0.2</v>
      </c>
      <c r="I1053" s="25" t="n">
        <v>420</v>
      </c>
    </row>
    <row r="1054">
      <c r="A1054" s="25" t="inlineStr">
        <is>
          <t>ORD-10039</t>
        </is>
      </c>
      <c r="B1054" s="26" t="n">
        <v>45988</v>
      </c>
      <c r="C1054" s="25" t="inlineStr">
        <is>
          <t>North</t>
        </is>
      </c>
      <c r="D1054" s="25" t="inlineStr">
        <is>
          <t>Furniture</t>
        </is>
      </c>
      <c r="E1054" s="25" t="inlineStr">
        <is>
          <t>Standing Desk</t>
        </is>
      </c>
      <c r="F1054" s="25" t="n">
        <v>2</v>
      </c>
      <c r="G1054" s="25" t="n">
        <v>19500</v>
      </c>
      <c r="H1054" s="28" t="n">
        <v>0</v>
      </c>
      <c r="I1054" s="25" t="n">
        <v>13800</v>
      </c>
    </row>
    <row r="1055">
      <c r="A1055" s="25" t="inlineStr">
        <is>
          <t>ORD-10424</t>
        </is>
      </c>
      <c r="B1055" s="26" t="n">
        <v>45709</v>
      </c>
      <c r="C1055" s="25" t="inlineStr">
        <is>
          <t>North</t>
        </is>
      </c>
      <c r="D1055" s="25" t="inlineStr">
        <is>
          <t>Accessories</t>
        </is>
      </c>
      <c r="E1055" s="25" t="inlineStr">
        <is>
          <t>Headphones</t>
        </is>
      </c>
      <c r="F1055" s="25" t="n">
        <v>1</v>
      </c>
      <c r="G1055" s="25" t="n">
        <v>4500</v>
      </c>
      <c r="H1055" s="28" t="n">
        <v>0.1</v>
      </c>
      <c r="I1055" s="25" t="n">
        <v>2600</v>
      </c>
    </row>
    <row r="1056">
      <c r="A1056" s="25" t="inlineStr">
        <is>
          <t>ORD-10390</t>
        </is>
      </c>
      <c r="B1056" s="26" t="n">
        <v>45935</v>
      </c>
      <c r="C1056" s="25" t="inlineStr">
        <is>
          <t>South</t>
        </is>
      </c>
      <c r="D1056" s="25" t="inlineStr">
        <is>
          <t>Office Supplies</t>
        </is>
      </c>
      <c r="E1056" s="25" t="inlineStr">
        <is>
          <t>Printer Paper Box</t>
        </is>
      </c>
      <c r="F1056" s="25" t="n">
        <v>2</v>
      </c>
      <c r="G1056" s="25" t="n">
        <v>1600</v>
      </c>
      <c r="H1056" s="28" t="n">
        <v>0</v>
      </c>
      <c r="I1056" s="25" t="n">
        <v>1050</v>
      </c>
    </row>
    <row r="1057">
      <c r="A1057" s="25" t="inlineStr">
        <is>
          <t>ORD-10640</t>
        </is>
      </c>
      <c r="B1057" s="25" t="inlineStr">
        <is>
          <t>28-Mar-2025</t>
        </is>
      </c>
      <c r="C1057" s="25" t="inlineStr">
        <is>
          <t xml:space="preserve"> North </t>
        </is>
      </c>
      <c r="D1057" s="25" t="inlineStr">
        <is>
          <t>Office Supplies</t>
        </is>
      </c>
      <c r="E1057" s="25" t="inlineStr">
        <is>
          <t>Notebook Set</t>
        </is>
      </c>
      <c r="F1057" s="25" t="n">
        <v>2</v>
      </c>
      <c r="G1057" s="25" t="n">
        <v>450</v>
      </c>
      <c r="H1057" s="28" t="n">
        <v>0</v>
      </c>
      <c r="I1057" s="25" t="n">
        <v>190</v>
      </c>
    </row>
    <row r="1058">
      <c r="A1058" s="25" t="inlineStr">
        <is>
          <t>ORD-11133</t>
        </is>
      </c>
      <c r="B1058" s="26" t="n">
        <v>45905</v>
      </c>
      <c r="C1058" s="25" t="inlineStr">
        <is>
          <t>South</t>
        </is>
      </c>
      <c r="D1058" s="25" t="inlineStr">
        <is>
          <t>Office Supplies</t>
        </is>
      </c>
      <c r="E1058" s="25" t="inlineStr">
        <is>
          <t>Printer Paper Box</t>
        </is>
      </c>
      <c r="F1058" s="25" t="n">
        <v>5</v>
      </c>
      <c r="G1058" s="25" t="n">
        <v>1600</v>
      </c>
      <c r="H1058" s="28" t="n">
        <v>0</v>
      </c>
      <c r="I1058" s="25" t="n">
        <v>1050</v>
      </c>
    </row>
    <row r="1059">
      <c r="A1059" s="25" t="inlineStr">
        <is>
          <t>ORD-11160</t>
        </is>
      </c>
      <c r="B1059" s="25" t="inlineStr">
        <is>
          <t>02-Jul-2025</t>
        </is>
      </c>
      <c r="C1059" s="25" t="inlineStr">
        <is>
          <t>North</t>
        </is>
      </c>
      <c r="D1059" s="25" t="inlineStr">
        <is>
          <t>Office Supplies</t>
        </is>
      </c>
      <c r="E1059" s="25" t="inlineStr">
        <is>
          <t>Notebook Set</t>
        </is>
      </c>
      <c r="F1059" s="25" t="n">
        <v>3</v>
      </c>
      <c r="G1059" s="25" t="n">
        <v>450</v>
      </c>
      <c r="H1059" s="28" t="n">
        <v>0</v>
      </c>
      <c r="I1059" s="25" t="n">
        <v>190</v>
      </c>
    </row>
    <row r="1060">
      <c r="A1060" s="25" t="inlineStr">
        <is>
          <t>ORD-10063</t>
        </is>
      </c>
      <c r="B1060" s="25" t="inlineStr">
        <is>
          <t>09-Apr-2025</t>
        </is>
      </c>
      <c r="C1060" s="25" t="inlineStr">
        <is>
          <t>South</t>
        </is>
      </c>
      <c r="D1060" s="25" t="inlineStr">
        <is>
          <t>Office Supplies</t>
        </is>
      </c>
      <c r="E1060" s="25" t="inlineStr">
        <is>
          <t>Notebook Set</t>
        </is>
      </c>
      <c r="F1060" s="25" t="n">
        <v>8</v>
      </c>
      <c r="G1060" s="25" t="n">
        <v>450</v>
      </c>
      <c r="H1060" s="28" t="n">
        <v>0.05</v>
      </c>
      <c r="I1060" s="25" t="n">
        <v>190</v>
      </c>
    </row>
    <row r="1061">
      <c r="A1061" s="25" t="inlineStr">
        <is>
          <t>ORD-11004</t>
        </is>
      </c>
      <c r="B1061" s="26" t="n">
        <v>45841</v>
      </c>
      <c r="C1061" s="25" t="inlineStr">
        <is>
          <t>West</t>
        </is>
      </c>
      <c r="D1061" s="25" t="inlineStr">
        <is>
          <t>Accessories</t>
        </is>
      </c>
      <c r="E1061" s="25" t="inlineStr">
        <is>
          <t>USB-C Hub</t>
        </is>
      </c>
      <c r="F1061" s="25" t="n">
        <v>1</v>
      </c>
      <c r="G1061" s="25" t="n">
        <v>1800</v>
      </c>
      <c r="H1061" s="28" t="n">
        <v>0</v>
      </c>
      <c r="I1061" s="25" t="n">
        <v>980</v>
      </c>
    </row>
    <row r="1062">
      <c r="A1062" s="25" t="inlineStr">
        <is>
          <t>ORD-10100</t>
        </is>
      </c>
      <c r="B1062" s="25" t="inlineStr">
        <is>
          <t>28-Dec-2025</t>
        </is>
      </c>
      <c r="C1062" s="25" t="inlineStr">
        <is>
          <t xml:space="preserve"> North </t>
        </is>
      </c>
      <c r="D1062" s="25" t="inlineStr">
        <is>
          <t>Accessories</t>
        </is>
      </c>
      <c r="E1062" s="25" t="inlineStr">
        <is>
          <t>USB-C Hub</t>
        </is>
      </c>
      <c r="F1062" s="25" t="n">
        <v>2</v>
      </c>
      <c r="G1062" s="25" t="n">
        <v>1800</v>
      </c>
      <c r="H1062" s="28" t="n">
        <v>0</v>
      </c>
      <c r="I1062" s="25" t="n">
        <v>980</v>
      </c>
    </row>
    <row r="1063">
      <c r="A1063" s="25" t="inlineStr">
        <is>
          <t>ORD-10547</t>
        </is>
      </c>
      <c r="B1063" s="26" t="n">
        <v>45918</v>
      </c>
      <c r="C1063" s="25" t="inlineStr">
        <is>
          <t xml:space="preserve">West </t>
        </is>
      </c>
      <c r="D1063" s="25" t="inlineStr">
        <is>
          <t>Office Supplies</t>
        </is>
      </c>
      <c r="E1063" s="25" t="inlineStr">
        <is>
          <t>Notebook Set</t>
        </is>
      </c>
      <c r="F1063" s="25" t="n">
        <v>8</v>
      </c>
      <c r="G1063" s="25" t="n">
        <v>450</v>
      </c>
      <c r="H1063" s="28" t="n">
        <v>0</v>
      </c>
      <c r="I1063" s="25" t="n">
        <v>190</v>
      </c>
    </row>
    <row r="1064">
      <c r="A1064" s="25" t="inlineStr">
        <is>
          <t>ORD-10789</t>
        </is>
      </c>
      <c r="B1064" s="26" t="n">
        <v>45660</v>
      </c>
      <c r="C1064" s="25" t="inlineStr">
        <is>
          <t>South</t>
        </is>
      </c>
      <c r="D1064" s="25" t="inlineStr">
        <is>
          <t>Office Supplies</t>
        </is>
      </c>
      <c r="E1064" s="25" t="inlineStr">
        <is>
          <t>Printer Paper Box</t>
        </is>
      </c>
      <c r="F1064" s="25" t="n">
        <v>4</v>
      </c>
      <c r="G1064" s="25" t="n">
        <v>1600</v>
      </c>
      <c r="H1064" s="28" t="n">
        <v>0</v>
      </c>
      <c r="I1064" s="25" t="n">
        <v>1050</v>
      </c>
    </row>
    <row r="1065">
      <c r="A1065" s="25" t="inlineStr">
        <is>
          <t>ORD-11131</t>
        </is>
      </c>
      <c r="B1065" s="26" t="n">
        <v>45973</v>
      </c>
      <c r="C1065" s="25" t="inlineStr">
        <is>
          <t>East</t>
        </is>
      </c>
      <c r="D1065" s="25" t="inlineStr">
        <is>
          <t>Office Supplies</t>
        </is>
      </c>
      <c r="E1065" s="25" t="inlineStr">
        <is>
          <t>Printer Paper Box</t>
        </is>
      </c>
      <c r="F1065" s="25" t="n">
        <v>3</v>
      </c>
      <c r="G1065" s="25" t="n">
        <v>1600</v>
      </c>
      <c r="H1065" s="28" t="n">
        <v>0.2</v>
      </c>
      <c r="I1065" s="25" t="n">
        <v>1050</v>
      </c>
    </row>
    <row r="1066">
      <c r="A1066" s="25" t="inlineStr">
        <is>
          <t>ORD-11049</t>
        </is>
      </c>
      <c r="B1066" s="26" t="n">
        <v>45901</v>
      </c>
      <c r="C1066" s="25" t="inlineStr">
        <is>
          <t>East</t>
        </is>
      </c>
      <c r="D1066" s="25" t="inlineStr">
        <is>
          <t>Office Supplies</t>
        </is>
      </c>
      <c r="E1066" s="25" t="inlineStr">
        <is>
          <t>Printer Paper Box</t>
        </is>
      </c>
      <c r="F1066" s="25" t="n">
        <v>5</v>
      </c>
      <c r="G1066" s="25" t="n">
        <v>1600</v>
      </c>
      <c r="H1066" s="28" t="n">
        <v>0</v>
      </c>
      <c r="I1066" s="25" t="n">
        <v>1050</v>
      </c>
    </row>
    <row r="1067">
      <c r="A1067" s="25" t="inlineStr">
        <is>
          <t>ORD-10992</t>
        </is>
      </c>
      <c r="B1067" s="26" t="n">
        <v>45852</v>
      </c>
      <c r="C1067" s="25" t="inlineStr">
        <is>
          <t>North</t>
        </is>
      </c>
      <c r="D1067" s="25" t="inlineStr">
        <is>
          <t>Office Supplies</t>
        </is>
      </c>
      <c r="E1067" s="25" t="inlineStr">
        <is>
          <t>Notebook Set</t>
        </is>
      </c>
      <c r="F1067" s="25" t="n">
        <v>8</v>
      </c>
      <c r="G1067" s="25" t="n">
        <v>450</v>
      </c>
      <c r="H1067" s="28" t="n">
        <v>0.15</v>
      </c>
      <c r="I1067" s="25" t="n">
        <v>190</v>
      </c>
    </row>
    <row r="1068">
      <c r="A1068" s="25" t="inlineStr">
        <is>
          <t>ORD-10286</t>
        </is>
      </c>
      <c r="B1068" s="26" t="n">
        <v>45877</v>
      </c>
      <c r="C1068" s="25" t="inlineStr">
        <is>
          <t>West</t>
        </is>
      </c>
      <c r="D1068" s="25" t="inlineStr">
        <is>
          <t>Accessories</t>
        </is>
      </c>
      <c r="E1068" s="25" t="inlineStr">
        <is>
          <t>USB-C Hub</t>
        </is>
      </c>
      <c r="F1068" s="25" t="n">
        <v>1</v>
      </c>
      <c r="G1068" s="25" t="n">
        <v>1800</v>
      </c>
      <c r="H1068" s="28" t="n">
        <v>0.2</v>
      </c>
      <c r="I1068" s="25" t="n">
        <v>980</v>
      </c>
    </row>
    <row r="1069">
      <c r="A1069" s="25" t="inlineStr">
        <is>
          <t>ORD-11168</t>
        </is>
      </c>
      <c r="B1069" s="26" t="n">
        <v>45691</v>
      </c>
      <c r="C1069" s="25" t="inlineStr">
        <is>
          <t>South</t>
        </is>
      </c>
      <c r="D1069" s="25" t="inlineStr">
        <is>
          <t>Technology</t>
        </is>
      </c>
      <c r="E1069" s="25" t="inlineStr">
        <is>
          <t>Monitor 24"</t>
        </is>
      </c>
      <c r="F1069" s="25" t="n">
        <v>1</v>
      </c>
      <c r="G1069" s="25" t="n">
        <v>11500</v>
      </c>
      <c r="H1069" s="28" t="n">
        <v>0.15</v>
      </c>
      <c r="I1069" s="25" t="n">
        <v>8200</v>
      </c>
    </row>
    <row r="1070">
      <c r="A1070" s="25" t="inlineStr">
        <is>
          <t>ORD-11176</t>
        </is>
      </c>
      <c r="B1070" s="26" t="n">
        <v>45916</v>
      </c>
      <c r="C1070" s="25" t="inlineStr">
        <is>
          <t>East</t>
        </is>
      </c>
      <c r="D1070" s="25" t="inlineStr">
        <is>
          <t>Accessories</t>
        </is>
      </c>
      <c r="E1070" s="25" t="inlineStr">
        <is>
          <t>Webcam</t>
        </is>
      </c>
      <c r="F1070" s="25" t="n">
        <v>2</v>
      </c>
      <c r="G1070" s="25" t="n">
        <v>3200</v>
      </c>
      <c r="H1070" s="28" t="n">
        <v>0.1</v>
      </c>
      <c r="I1070" s="25" t="n">
        <v>1900</v>
      </c>
    </row>
    <row r="1071">
      <c r="A1071" s="25" t="inlineStr">
        <is>
          <t>ORD-10913</t>
        </is>
      </c>
      <c r="B1071" s="25" t="inlineStr">
        <is>
          <t>27-Sep-2025</t>
        </is>
      </c>
      <c r="C1071" s="25" t="inlineStr">
        <is>
          <t>South</t>
        </is>
      </c>
      <c r="D1071" s="25" t="inlineStr">
        <is>
          <t>Office Supplies</t>
        </is>
      </c>
      <c r="E1071" s="25" t="inlineStr">
        <is>
          <t>Notebook Set</t>
        </is>
      </c>
      <c r="F1071" s="25" t="n">
        <v>3</v>
      </c>
      <c r="G1071" s="25" t="n">
        <v>450</v>
      </c>
      <c r="H1071" s="28" t="n">
        <v>0.05</v>
      </c>
      <c r="I1071" s="25" t="n">
        <v>190</v>
      </c>
    </row>
    <row r="1072">
      <c r="A1072" s="25" t="inlineStr">
        <is>
          <t>ORD-10171</t>
        </is>
      </c>
      <c r="B1072" s="26" t="n">
        <v>45854</v>
      </c>
      <c r="C1072" s="25" t="inlineStr">
        <is>
          <t>South</t>
        </is>
      </c>
      <c r="D1072" s="25" t="inlineStr">
        <is>
          <t>Office Supplies</t>
        </is>
      </c>
      <c r="E1072" s="25" t="inlineStr">
        <is>
          <t>Notebook Set</t>
        </is>
      </c>
      <c r="F1072" s="25" t="n">
        <v>6</v>
      </c>
      <c r="G1072" s="25" t="n">
        <v>450</v>
      </c>
      <c r="H1072" s="28" t="n">
        <v>0</v>
      </c>
      <c r="I1072" s="25" t="n">
        <v>190</v>
      </c>
    </row>
    <row r="1073">
      <c r="A1073" s="25" t="inlineStr">
        <is>
          <t>ORD-10599</t>
        </is>
      </c>
      <c r="B1073" s="26" t="n">
        <v>46007</v>
      </c>
      <c r="C1073" s="25" t="inlineStr">
        <is>
          <t>South</t>
        </is>
      </c>
      <c r="D1073" s="25" t="inlineStr">
        <is>
          <t>Accessories</t>
        </is>
      </c>
      <c r="E1073" s="25" t="inlineStr">
        <is>
          <t>Headphones</t>
        </is>
      </c>
      <c r="F1073" s="25" t="n">
        <v>1</v>
      </c>
      <c r="G1073" s="25" t="n">
        <v>4500</v>
      </c>
      <c r="H1073" s="28" t="n">
        <v>0</v>
      </c>
      <c r="I1073" s="25" t="n">
        <v>2600</v>
      </c>
    </row>
    <row r="1074">
      <c r="A1074" s="25" t="inlineStr">
        <is>
          <t>ORD-10780</t>
        </is>
      </c>
      <c r="B1074" s="26" t="n">
        <v>45967</v>
      </c>
      <c r="C1074" s="25" t="inlineStr">
        <is>
          <t>North</t>
        </is>
      </c>
      <c r="D1074" s="25" t="inlineStr">
        <is>
          <t>Accessories</t>
        </is>
      </c>
      <c r="E1074" s="25" t="inlineStr">
        <is>
          <t>Webcam</t>
        </is>
      </c>
      <c r="F1074" s="25" t="n">
        <v>2</v>
      </c>
      <c r="G1074" s="25" t="n">
        <v>3200</v>
      </c>
      <c r="H1074" s="28" t="n">
        <v>0</v>
      </c>
      <c r="I1074" s="25" t="n">
        <v>1900</v>
      </c>
    </row>
    <row r="1075">
      <c r="A1075" s="25" t="inlineStr">
        <is>
          <t>ORD-10065</t>
        </is>
      </c>
      <c r="B1075" s="26" t="n">
        <v>45667</v>
      </c>
      <c r="C1075" s="25" t="inlineStr">
        <is>
          <t>East</t>
        </is>
      </c>
      <c r="D1075" s="25" t="inlineStr">
        <is>
          <t>Office Supplies</t>
        </is>
      </c>
      <c r="E1075" s="25" t="inlineStr">
        <is>
          <t>Notebook Set</t>
        </is>
      </c>
      <c r="F1075" s="25" t="n">
        <v>4</v>
      </c>
      <c r="G1075" s="25" t="n">
        <v>450</v>
      </c>
      <c r="H1075" s="28" t="n">
        <v>0</v>
      </c>
      <c r="I1075" s="25" t="n">
        <v>190</v>
      </c>
    </row>
    <row r="1076">
      <c r="A1076" s="25" t="inlineStr">
        <is>
          <t>ORD-10982</t>
        </is>
      </c>
      <c r="B1076" s="26" t="n">
        <v>45978</v>
      </c>
      <c r="C1076" s="25" t="inlineStr">
        <is>
          <t>North</t>
        </is>
      </c>
      <c r="D1076" s="25" t="inlineStr">
        <is>
          <t>Technology</t>
        </is>
      </c>
      <c r="E1076" s="25" t="inlineStr">
        <is>
          <t>Monitor 24"</t>
        </is>
      </c>
      <c r="F1076" s="25" t="n">
        <v>2</v>
      </c>
      <c r="G1076" s="25" t="n">
        <v>11500</v>
      </c>
      <c r="H1076" s="28" t="n">
        <v>0</v>
      </c>
      <c r="I1076" s="25" t="n">
        <v>8200</v>
      </c>
    </row>
    <row r="1077">
      <c r="A1077" s="25" t="inlineStr">
        <is>
          <t>ORD-11019</t>
        </is>
      </c>
      <c r="B1077" s="26" t="n">
        <v>45715</v>
      </c>
      <c r="C1077" s="25" t="inlineStr">
        <is>
          <t>West</t>
        </is>
      </c>
      <c r="D1077" s="25" t="inlineStr">
        <is>
          <t>Technology</t>
        </is>
      </c>
      <c r="E1077" s="25" t="inlineStr">
        <is>
          <t>Wireless Mouse</t>
        </is>
      </c>
      <c r="F1077" s="25" t="n">
        <v>2</v>
      </c>
      <c r="G1077" s="25" t="n">
        <v>1200</v>
      </c>
      <c r="H1077" s="28" t="n">
        <v>0.2</v>
      </c>
      <c r="I1077" s="25" t="n">
        <v>650</v>
      </c>
    </row>
    <row r="1078">
      <c r="A1078" s="25" t="inlineStr">
        <is>
          <t>ORD-10259</t>
        </is>
      </c>
      <c r="B1078" s="25" t="inlineStr">
        <is>
          <t>19-Jun-2025</t>
        </is>
      </c>
      <c r="C1078" s="25" t="inlineStr">
        <is>
          <t>South</t>
        </is>
      </c>
      <c r="D1078" s="25" t="inlineStr">
        <is>
          <t>Accessories</t>
        </is>
      </c>
      <c r="E1078" s="25" t="inlineStr">
        <is>
          <t>USB-C Hub</t>
        </is>
      </c>
      <c r="F1078" s="25" t="n">
        <v>2</v>
      </c>
      <c r="G1078" s="25" t="n">
        <v>1800</v>
      </c>
      <c r="H1078" s="28" t="n">
        <v>0</v>
      </c>
      <c r="I1078" s="25" t="n">
        <v>980</v>
      </c>
    </row>
    <row r="1079">
      <c r="A1079" s="25" t="inlineStr">
        <is>
          <t>ORD-10348</t>
        </is>
      </c>
      <c r="B1079" s="25" t="inlineStr">
        <is>
          <t>04-Feb-2025</t>
        </is>
      </c>
      <c r="C1079" s="25" t="inlineStr">
        <is>
          <t>West</t>
        </is>
      </c>
      <c r="D1079" s="25" t="inlineStr">
        <is>
          <t>Office Supplies</t>
        </is>
      </c>
      <c r="E1079" s="25" t="inlineStr">
        <is>
          <t>Printer Paper Box</t>
        </is>
      </c>
      <c r="F1079" s="25" t="n">
        <v>1</v>
      </c>
      <c r="G1079" s="25" t="n">
        <v>1600</v>
      </c>
      <c r="H1079" s="28" t="n">
        <v>0.2</v>
      </c>
      <c r="I1079" s="25" t="n">
        <v>1050</v>
      </c>
    </row>
    <row r="1080">
      <c r="A1080" s="25" t="inlineStr">
        <is>
          <t>ORD-10321</t>
        </is>
      </c>
      <c r="B1080" s="25" t="inlineStr">
        <is>
          <t>13-Jan-2025</t>
        </is>
      </c>
      <c r="C1080" s="25" t="inlineStr">
        <is>
          <t>South</t>
        </is>
      </c>
      <c r="D1080" s="25" t="inlineStr">
        <is>
          <t>Technology</t>
        </is>
      </c>
      <c r="E1080" s="25" t="inlineStr">
        <is>
          <t>Mechanical Keyboard</t>
        </is>
      </c>
      <c r="F1080" s="25" t="n">
        <v>2</v>
      </c>
      <c r="G1080" s="25" t="n">
        <v>4200</v>
      </c>
      <c r="H1080" s="28" t="n">
        <v>0</v>
      </c>
      <c r="I1080" s="25" t="n">
        <v>2500</v>
      </c>
    </row>
    <row r="1081">
      <c r="A1081" s="25" t="inlineStr">
        <is>
          <t>ORD-11002</t>
        </is>
      </c>
      <c r="B1081" s="26" t="n">
        <v>45992</v>
      </c>
      <c r="C1081" s="25" t="inlineStr">
        <is>
          <t>West</t>
        </is>
      </c>
      <c r="D1081" s="25" t="inlineStr">
        <is>
          <t>Technology</t>
        </is>
      </c>
      <c r="E1081" s="25" t="inlineStr">
        <is>
          <t>Wireless Mouse</t>
        </is>
      </c>
      <c r="F1081" s="25" t="n">
        <v>1</v>
      </c>
      <c r="G1081" s="25" t="n">
        <v>1200</v>
      </c>
      <c r="H1081" s="28" t="n">
        <v>0</v>
      </c>
      <c r="I1081" s="25" t="n">
        <v>650</v>
      </c>
    </row>
    <row r="1082">
      <c r="A1082" s="25" t="inlineStr">
        <is>
          <t>ORD-10381</t>
        </is>
      </c>
      <c r="B1082" s="26" t="n">
        <v>45720</v>
      </c>
      <c r="C1082" s="25" t="inlineStr">
        <is>
          <t>South</t>
        </is>
      </c>
      <c r="D1082" s="25" t="inlineStr">
        <is>
          <t>Technology</t>
        </is>
      </c>
      <c r="E1082" s="25" t="inlineStr">
        <is>
          <t>Mechanical Keyboard</t>
        </is>
      </c>
      <c r="F1082" s="25" t="n">
        <v>3</v>
      </c>
      <c r="G1082" s="25" t="n">
        <v>4200</v>
      </c>
      <c r="H1082" s="28" t="n">
        <v>0.15</v>
      </c>
      <c r="I1082" s="25" t="n">
        <v>2500</v>
      </c>
    </row>
    <row r="1083">
      <c r="A1083" s="25" t="inlineStr">
        <is>
          <t>ORD-10560</t>
        </is>
      </c>
      <c r="B1083" s="26" t="n">
        <v>45764</v>
      </c>
      <c r="C1083" s="25" t="inlineStr">
        <is>
          <t>East</t>
        </is>
      </c>
      <c r="D1083" s="25" t="inlineStr">
        <is>
          <t>Furniture</t>
        </is>
      </c>
      <c r="E1083" s="25" t="inlineStr">
        <is>
          <t>Bookshelf</t>
        </is>
      </c>
      <c r="F1083" s="25" t="n">
        <v>3</v>
      </c>
      <c r="G1083" s="25" t="n">
        <v>6200</v>
      </c>
      <c r="H1083" s="28" t="n">
        <v>0.05</v>
      </c>
      <c r="I1083" s="25" t="n">
        <v>4100</v>
      </c>
    </row>
    <row r="1084">
      <c r="A1084" s="25" t="inlineStr">
        <is>
          <t>ORD-10195</t>
        </is>
      </c>
      <c r="B1084" s="25" t="inlineStr">
        <is>
          <t>19-Oct-2025</t>
        </is>
      </c>
      <c r="C1084" s="25" t="inlineStr">
        <is>
          <t>West</t>
        </is>
      </c>
      <c r="D1084" s="25" t="inlineStr">
        <is>
          <t>Accessories</t>
        </is>
      </c>
      <c r="E1084" s="25" t="inlineStr">
        <is>
          <t>USB-C Hub</t>
        </is>
      </c>
      <c r="F1084" s="25" t="n">
        <v>3</v>
      </c>
      <c r="G1084" s="25" t="n">
        <v>1800</v>
      </c>
      <c r="H1084" s="28" t="n">
        <v>0</v>
      </c>
      <c r="I1084" s="25" t="n">
        <v>980</v>
      </c>
    </row>
    <row r="1085">
      <c r="A1085" s="25" t="inlineStr">
        <is>
          <t>ORD-10480</t>
        </is>
      </c>
      <c r="B1085" s="26" t="n">
        <v>45734</v>
      </c>
      <c r="C1085" s="25" t="inlineStr">
        <is>
          <t>South</t>
        </is>
      </c>
      <c r="D1085" s="25" t="inlineStr">
        <is>
          <t>Office Supplies</t>
        </is>
      </c>
      <c r="E1085" s="25" t="inlineStr">
        <is>
          <t>Desk Organizer</t>
        </is>
      </c>
      <c r="F1085" s="25" t="n">
        <v>3</v>
      </c>
      <c r="G1085" s="25" t="n">
        <v>850</v>
      </c>
      <c r="H1085" s="28" t="n">
        <v>0.05</v>
      </c>
      <c r="I1085" s="25" t="n">
        <v>420</v>
      </c>
    </row>
    <row r="1086">
      <c r="A1086" s="25" t="inlineStr">
        <is>
          <t>ORD-10951</t>
        </is>
      </c>
      <c r="B1086" s="25" t="inlineStr">
        <is>
          <t>09-Aug-2025</t>
        </is>
      </c>
      <c r="C1086" s="25" t="inlineStr">
        <is>
          <t>South</t>
        </is>
      </c>
      <c r="D1086" s="25" t="inlineStr">
        <is>
          <t>Furniture</t>
        </is>
      </c>
      <c r="E1086" s="25" t="inlineStr">
        <is>
          <t>Office Chair</t>
        </is>
      </c>
      <c r="F1086" s="25" t="n">
        <v>2</v>
      </c>
      <c r="G1086" s="25" t="n">
        <v>8500</v>
      </c>
      <c r="H1086" s="28" t="n">
        <v>0.05</v>
      </c>
      <c r="I1086" s="25" t="n">
        <v>5600</v>
      </c>
    </row>
    <row r="1087">
      <c r="A1087" s="25" t="inlineStr">
        <is>
          <t>ORD-11184</t>
        </is>
      </c>
      <c r="B1087" s="26" t="n">
        <v>45736</v>
      </c>
      <c r="C1087" s="25" t="inlineStr">
        <is>
          <t>West</t>
        </is>
      </c>
      <c r="D1087" s="25" t="inlineStr">
        <is>
          <t>Office Supplies</t>
        </is>
      </c>
      <c r="E1087" s="25" t="inlineStr">
        <is>
          <t>Printer Paper Box</t>
        </is>
      </c>
      <c r="F1087" s="25" t="n">
        <v>3</v>
      </c>
      <c r="G1087" s="25" t="n">
        <v>1600</v>
      </c>
      <c r="H1087" s="28" t="n">
        <v>0.15</v>
      </c>
      <c r="I1087" s="25" t="n">
        <v>1050</v>
      </c>
    </row>
    <row r="1088">
      <c r="A1088" s="25" t="inlineStr">
        <is>
          <t>ORD-10273</t>
        </is>
      </c>
      <c r="B1088" s="26" t="n">
        <v>45921</v>
      </c>
      <c r="C1088" s="25" t="inlineStr">
        <is>
          <t xml:space="preserve">West </t>
        </is>
      </c>
      <c r="D1088" s="25" t="inlineStr">
        <is>
          <t>Technology</t>
        </is>
      </c>
      <c r="E1088" s="25" t="inlineStr">
        <is>
          <t>Monitor 24"</t>
        </is>
      </c>
      <c r="F1088" s="25" t="n">
        <v>1</v>
      </c>
      <c r="G1088" s="25" t="n">
        <v>11500</v>
      </c>
      <c r="H1088" s="28" t="n">
        <v>0.05</v>
      </c>
      <c r="I1088" s="25" t="n">
        <v>8200</v>
      </c>
    </row>
    <row r="1089">
      <c r="A1089" s="25" t="inlineStr">
        <is>
          <t>ORD-10981</t>
        </is>
      </c>
      <c r="B1089" s="26" t="n">
        <v>45700</v>
      </c>
      <c r="C1089" s="25" t="inlineStr">
        <is>
          <t>North</t>
        </is>
      </c>
      <c r="D1089" s="25" t="inlineStr">
        <is>
          <t>Office Supplies</t>
        </is>
      </c>
      <c r="E1089" s="25" t="inlineStr">
        <is>
          <t>Notebook Set</t>
        </is>
      </c>
      <c r="F1089" s="25" t="n">
        <v>5</v>
      </c>
      <c r="G1089" s="25" t="n">
        <v>450</v>
      </c>
      <c r="H1089" s="28" t="n">
        <v>0</v>
      </c>
      <c r="I1089" s="25" t="n">
        <v>190</v>
      </c>
    </row>
    <row r="1090">
      <c r="A1090" s="25" t="inlineStr">
        <is>
          <t>ORD-10983</t>
        </is>
      </c>
      <c r="B1090" s="25" t="inlineStr">
        <is>
          <t>02-Sep-2025</t>
        </is>
      </c>
      <c r="C1090" s="25" t="inlineStr">
        <is>
          <t>South</t>
        </is>
      </c>
      <c r="D1090" s="25" t="inlineStr">
        <is>
          <t>Office Supplies</t>
        </is>
      </c>
      <c r="E1090" s="25" t="inlineStr">
        <is>
          <t>Printer Paper Box</t>
        </is>
      </c>
      <c r="F1090" s="25" t="n">
        <v>3</v>
      </c>
      <c r="G1090" s="25" t="n">
        <v>1600</v>
      </c>
      <c r="H1090" s="28" t="n">
        <v>0.05</v>
      </c>
      <c r="I1090" s="25" t="n">
        <v>1050</v>
      </c>
    </row>
    <row r="1091">
      <c r="A1091" s="25" t="inlineStr">
        <is>
          <t>ORD-10476</t>
        </is>
      </c>
      <c r="B1091" s="26" t="n">
        <v>45920</v>
      </c>
      <c r="C1091" s="25" t="inlineStr">
        <is>
          <t>West</t>
        </is>
      </c>
      <c r="D1091" s="25" t="inlineStr">
        <is>
          <t>Office Supplies</t>
        </is>
      </c>
      <c r="E1091" s="25" t="inlineStr">
        <is>
          <t>Printer Paper Box</t>
        </is>
      </c>
      <c r="F1091" s="25" t="n">
        <v>6</v>
      </c>
      <c r="G1091" s="25" t="n">
        <v>1600</v>
      </c>
      <c r="H1091" s="28" t="n">
        <v>0.1</v>
      </c>
      <c r="I1091" s="25" t="n">
        <v>1050</v>
      </c>
    </row>
    <row r="1092">
      <c r="A1092" s="25" t="inlineStr">
        <is>
          <t>ORD-10538</t>
        </is>
      </c>
      <c r="B1092" s="25" t="inlineStr">
        <is>
          <t>16-Dec-2025</t>
        </is>
      </c>
      <c r="C1092" s="25" t="inlineStr">
        <is>
          <t>West</t>
        </is>
      </c>
      <c r="D1092" s="25" t="inlineStr">
        <is>
          <t>Office Supplies</t>
        </is>
      </c>
      <c r="E1092" s="25" t="inlineStr">
        <is>
          <t>Notebook Set</t>
        </is>
      </c>
      <c r="F1092" s="25" t="n">
        <v>8</v>
      </c>
      <c r="G1092" s="25" t="n">
        <v>450</v>
      </c>
      <c r="H1092" s="28" t="n">
        <v>0</v>
      </c>
      <c r="I1092" s="25" t="n">
        <v>190</v>
      </c>
    </row>
    <row r="1093">
      <c r="A1093" s="25" t="inlineStr">
        <is>
          <t>ORD-10450</t>
        </is>
      </c>
      <c r="B1093" s="26" t="n">
        <v>45678</v>
      </c>
      <c r="C1093" s="25" t="inlineStr">
        <is>
          <t>West</t>
        </is>
      </c>
      <c r="D1093" s="25" t="inlineStr">
        <is>
          <t>Furniture</t>
        </is>
      </c>
      <c r="E1093" s="25" t="inlineStr">
        <is>
          <t>Standing Desk</t>
        </is>
      </c>
      <c r="F1093" s="25" t="n">
        <v>2</v>
      </c>
      <c r="G1093" s="25" t="n">
        <v>19500</v>
      </c>
      <c r="H1093" s="28" t="n">
        <v>0</v>
      </c>
      <c r="I1093" s="25" t="n">
        <v>13800</v>
      </c>
    </row>
    <row r="1094">
      <c r="A1094" s="25" t="inlineStr">
        <is>
          <t>ORD-10829</t>
        </is>
      </c>
      <c r="B1094" s="25" t="inlineStr">
        <is>
          <t>26-Aug-2025</t>
        </is>
      </c>
      <c r="C1094" s="25" t="inlineStr">
        <is>
          <t>West</t>
        </is>
      </c>
      <c r="D1094" s="25" t="inlineStr">
        <is>
          <t>Technology</t>
        </is>
      </c>
      <c r="E1094" s="25" t="inlineStr">
        <is>
          <t>Mechanical Keyboard</t>
        </is>
      </c>
      <c r="F1094" s="25" t="n">
        <v>3</v>
      </c>
      <c r="G1094" s="25" t="n">
        <v>4200</v>
      </c>
      <c r="H1094" s="28" t="n">
        <v>0.05</v>
      </c>
      <c r="I1094" s="25" t="n">
        <v>2500</v>
      </c>
    </row>
    <row r="1095">
      <c r="A1095" s="25" t="inlineStr">
        <is>
          <t>ORD-10761</t>
        </is>
      </c>
      <c r="B1095" s="26" t="n">
        <v>45684</v>
      </c>
      <c r="C1095" s="25" t="inlineStr">
        <is>
          <t>East</t>
        </is>
      </c>
      <c r="D1095" s="25" t="inlineStr">
        <is>
          <t>Accessories</t>
        </is>
      </c>
      <c r="E1095" s="25" t="inlineStr">
        <is>
          <t>Headphones</t>
        </is>
      </c>
      <c r="F1095" s="25" t="n">
        <v>1</v>
      </c>
      <c r="G1095" s="25" t="n">
        <v>4500</v>
      </c>
      <c r="H1095" s="28" t="n">
        <v>0.15</v>
      </c>
      <c r="I1095" s="25" t="n">
        <v>2600</v>
      </c>
    </row>
    <row r="1096">
      <c r="A1096" s="25" t="inlineStr">
        <is>
          <t>ORD-10678</t>
        </is>
      </c>
      <c r="B1096" s="26" t="n">
        <v>45856</v>
      </c>
      <c r="C1096" s="25" t="inlineStr">
        <is>
          <t>West</t>
        </is>
      </c>
      <c r="D1096" s="25" t="inlineStr">
        <is>
          <t>Accessories</t>
        </is>
      </c>
      <c r="E1096" s="25" t="inlineStr">
        <is>
          <t>Webcam</t>
        </is>
      </c>
      <c r="F1096" s="25" t="n">
        <v>1</v>
      </c>
      <c r="G1096" s="25" t="n">
        <v>3200</v>
      </c>
      <c r="H1096" s="28" t="n">
        <v>0.2</v>
      </c>
      <c r="I1096" s="25" t="n">
        <v>1900</v>
      </c>
    </row>
    <row r="1097">
      <c r="A1097" s="25" t="inlineStr">
        <is>
          <t>ORD-10686</t>
        </is>
      </c>
      <c r="B1097" s="25" t="inlineStr">
        <is>
          <t>08-Dec-2025</t>
        </is>
      </c>
      <c r="C1097" s="25" t="inlineStr">
        <is>
          <t>East</t>
        </is>
      </c>
      <c r="D1097" s="25" t="inlineStr">
        <is>
          <t>Technology</t>
        </is>
      </c>
      <c r="E1097" s="25" t="inlineStr">
        <is>
          <t>Wireless Mouse</t>
        </is>
      </c>
      <c r="F1097" s="25" t="n">
        <v>3</v>
      </c>
      <c r="G1097" s="25" t="n">
        <v>1200</v>
      </c>
      <c r="H1097" s="28" t="n">
        <v>0</v>
      </c>
      <c r="I1097" s="25" t="n">
        <v>650</v>
      </c>
    </row>
    <row r="1098">
      <c r="A1098" s="25" t="inlineStr">
        <is>
          <t>ORD-10090</t>
        </is>
      </c>
      <c r="B1098" s="26" t="n">
        <v>45993</v>
      </c>
      <c r="C1098" s="25" t="inlineStr">
        <is>
          <t>West</t>
        </is>
      </c>
      <c r="D1098" s="25" t="inlineStr">
        <is>
          <t>Furniture</t>
        </is>
      </c>
      <c r="E1098" s="25" t="inlineStr">
        <is>
          <t>Bookshelf</t>
        </is>
      </c>
      <c r="F1098" s="25" t="n">
        <v>2</v>
      </c>
      <c r="G1098" s="25" t="n">
        <v>6200</v>
      </c>
      <c r="H1098" s="28" t="n">
        <v>0.1</v>
      </c>
      <c r="I1098" s="25" t="n">
        <v>4100</v>
      </c>
    </row>
    <row r="1099">
      <c r="A1099" s="25" t="inlineStr">
        <is>
          <t>ORD-10815</t>
        </is>
      </c>
      <c r="B1099" s="26" t="n">
        <v>45710</v>
      </c>
      <c r="C1099" s="25" t="inlineStr">
        <is>
          <t>North</t>
        </is>
      </c>
      <c r="D1099" s="25" t="inlineStr">
        <is>
          <t>Office Supplies</t>
        </is>
      </c>
      <c r="E1099" s="25" t="inlineStr">
        <is>
          <t>Notebook Set</t>
        </is>
      </c>
      <c r="F1099" s="25" t="n">
        <v>7</v>
      </c>
      <c r="G1099" s="25" t="n">
        <v>450</v>
      </c>
      <c r="H1099" s="28" t="n">
        <v>0.05</v>
      </c>
      <c r="I1099" s="25" t="n">
        <v>190</v>
      </c>
    </row>
    <row r="1100">
      <c r="A1100" s="25" t="inlineStr">
        <is>
          <t>ORD-10105</t>
        </is>
      </c>
      <c r="B1100" s="25" t="inlineStr">
        <is>
          <t>20-Jan-2025</t>
        </is>
      </c>
      <c r="C1100" s="25" t="inlineStr">
        <is>
          <t>West</t>
        </is>
      </c>
      <c r="D1100" s="25" t="inlineStr">
        <is>
          <t>Technology</t>
        </is>
      </c>
      <c r="E1100" s="25" t="inlineStr">
        <is>
          <t>Wireless Mouse</t>
        </is>
      </c>
      <c r="F1100" s="25" t="n">
        <v>4</v>
      </c>
      <c r="G1100" s="25" t="n">
        <v>1200</v>
      </c>
      <c r="H1100" s="28" t="n">
        <v>0.1</v>
      </c>
      <c r="I1100" s="25" t="n">
        <v>650</v>
      </c>
    </row>
    <row r="1101">
      <c r="A1101" s="25" t="inlineStr">
        <is>
          <t>ORD-10657</t>
        </is>
      </c>
      <c r="B1101" s="26" t="n">
        <v>45880</v>
      </c>
      <c r="C1101" s="25" t="inlineStr">
        <is>
          <t>NORTH</t>
        </is>
      </c>
      <c r="D1101" s="25" t="inlineStr">
        <is>
          <t>Accessories</t>
        </is>
      </c>
      <c r="E1101" s="25" t="inlineStr">
        <is>
          <t>USB-C Hub</t>
        </is>
      </c>
      <c r="F1101" s="25" t="n">
        <v>3</v>
      </c>
      <c r="G1101" s="25" t="n">
        <v>1800</v>
      </c>
      <c r="H1101" s="28" t="n">
        <v>0</v>
      </c>
      <c r="I1101" s="25" t="n">
        <v>980</v>
      </c>
    </row>
    <row r="1102">
      <c r="A1102" s="25" t="inlineStr">
        <is>
          <t>ORD-10247</t>
        </is>
      </c>
      <c r="B1102" s="26" t="n">
        <v>45798</v>
      </c>
      <c r="C1102" s="25" t="inlineStr">
        <is>
          <t>South</t>
        </is>
      </c>
      <c r="D1102" s="25" t="inlineStr">
        <is>
          <t>Technology</t>
        </is>
      </c>
      <c r="E1102" s="25" t="inlineStr">
        <is>
          <t>Wireless Mouse</t>
        </is>
      </c>
      <c r="F1102" s="25" t="n">
        <v>2</v>
      </c>
      <c r="G1102" s="25" t="n">
        <v>1200</v>
      </c>
      <c r="H1102" s="28" t="n">
        <v>0</v>
      </c>
      <c r="I1102" s="25" t="n">
        <v>650</v>
      </c>
    </row>
    <row r="1103">
      <c r="A1103" s="25" t="inlineStr">
        <is>
          <t>ORD-10098</t>
        </is>
      </c>
      <c r="B1103" s="26" t="n">
        <v>45779</v>
      </c>
      <c r="C1103" s="25" t="inlineStr">
        <is>
          <t>North</t>
        </is>
      </c>
      <c r="D1103" s="25" t="inlineStr">
        <is>
          <t>Technology</t>
        </is>
      </c>
      <c r="E1103" s="25" t="inlineStr">
        <is>
          <t>Monitor 24"</t>
        </is>
      </c>
      <c r="F1103" s="25" t="n">
        <v>2</v>
      </c>
      <c r="G1103" s="25" t="n">
        <v>11500</v>
      </c>
      <c r="H1103" s="28" t="n">
        <v>0</v>
      </c>
      <c r="I1103" s="25" t="n">
        <v>8200</v>
      </c>
    </row>
    <row r="1104">
      <c r="A1104" s="25" t="inlineStr">
        <is>
          <t>ORD-11043</t>
        </is>
      </c>
      <c r="B1104" s="26" t="n">
        <v>45892</v>
      </c>
      <c r="C1104" s="25" t="inlineStr">
        <is>
          <t>South</t>
        </is>
      </c>
      <c r="D1104" s="25" t="inlineStr">
        <is>
          <t>Office Supplies</t>
        </is>
      </c>
      <c r="E1104" s="25" t="inlineStr">
        <is>
          <t>Notebook Set</t>
        </is>
      </c>
      <c r="F1104" s="25" t="n">
        <v>7</v>
      </c>
      <c r="G1104" s="25" t="n">
        <v>450</v>
      </c>
      <c r="H1104" s="28" t="n">
        <v>0</v>
      </c>
      <c r="I1104" s="25" t="n">
        <v>190</v>
      </c>
    </row>
    <row r="1105">
      <c r="A1105" s="25" t="inlineStr">
        <is>
          <t>ORD-10612</t>
        </is>
      </c>
      <c r="B1105" s="26" t="n">
        <v>45850</v>
      </c>
      <c r="C1105" s="25" t="inlineStr">
        <is>
          <t>South</t>
        </is>
      </c>
      <c r="D1105" s="25" t="inlineStr">
        <is>
          <t>Accessories</t>
        </is>
      </c>
      <c r="E1105" s="25" t="inlineStr">
        <is>
          <t>Headphones</t>
        </is>
      </c>
      <c r="F1105" s="25" t="n">
        <v>3</v>
      </c>
      <c r="G1105" s="25" t="n">
        <v>4500</v>
      </c>
      <c r="H1105" s="28" t="n">
        <v>0.2</v>
      </c>
      <c r="I1105" s="25" t="n">
        <v>2600</v>
      </c>
    </row>
    <row r="1106">
      <c r="A1106" s="25" t="inlineStr">
        <is>
          <t>ORD-10897</t>
        </is>
      </c>
      <c r="B1106" s="26" t="n">
        <v>45870</v>
      </c>
      <c r="C1106" s="25" t="inlineStr">
        <is>
          <t>East</t>
        </is>
      </c>
      <c r="D1106" s="25" t="inlineStr">
        <is>
          <t>Office Supplies</t>
        </is>
      </c>
      <c r="E1106" s="25" t="inlineStr">
        <is>
          <t>Desk Organizer</t>
        </is>
      </c>
      <c r="F1106" s="25" t="n">
        <v>2</v>
      </c>
      <c r="G1106" s="25" t="n">
        <v>850</v>
      </c>
      <c r="H1106" s="28" t="n">
        <v>0</v>
      </c>
      <c r="I1106" s="25" t="n">
        <v>420</v>
      </c>
    </row>
    <row r="1107">
      <c r="A1107" s="25" t="inlineStr">
        <is>
          <t>ORD-10698</t>
        </is>
      </c>
      <c r="B1107" s="25" t="inlineStr">
        <is>
          <t>24-May-2025</t>
        </is>
      </c>
      <c r="C1107" s="25" t="inlineStr">
        <is>
          <t>East</t>
        </is>
      </c>
      <c r="D1107" s="25" t="inlineStr">
        <is>
          <t>Accessories</t>
        </is>
      </c>
      <c r="E1107" s="25" t="inlineStr">
        <is>
          <t>USB-C Hub</t>
        </is>
      </c>
      <c r="F1107" s="25" t="n">
        <v>2</v>
      </c>
      <c r="G1107" s="25" t="n">
        <v>1800</v>
      </c>
      <c r="H1107" s="28" t="n">
        <v>0</v>
      </c>
      <c r="I1107" s="25" t="n">
        <v>980</v>
      </c>
    </row>
    <row r="1108">
      <c r="A1108" s="25" t="inlineStr">
        <is>
          <t>ORD-10771</t>
        </is>
      </c>
      <c r="B1108" s="26" t="n">
        <v>45941</v>
      </c>
      <c r="C1108" s="25" t="inlineStr">
        <is>
          <t>SOUTH</t>
        </is>
      </c>
      <c r="D1108" s="25" t="inlineStr">
        <is>
          <t>Furniture</t>
        </is>
      </c>
      <c r="E1108" s="25" t="inlineStr">
        <is>
          <t>Bookshelf</t>
        </is>
      </c>
      <c r="F1108" s="25" t="n">
        <v>1</v>
      </c>
      <c r="G1108" s="25" t="n">
        <v>6200</v>
      </c>
      <c r="H1108" s="28" t="n">
        <v>0</v>
      </c>
      <c r="I1108" s="25" t="n">
        <v>4100</v>
      </c>
    </row>
    <row r="1109">
      <c r="A1109" s="25" t="inlineStr">
        <is>
          <t>ORD-10750</t>
        </is>
      </c>
      <c r="B1109" s="26" t="n">
        <v>45830</v>
      </c>
      <c r="C1109" s="25" t="inlineStr">
        <is>
          <t>North</t>
        </is>
      </c>
      <c r="D1109" s="25" t="inlineStr">
        <is>
          <t>Accessories</t>
        </is>
      </c>
      <c r="E1109" s="25" t="inlineStr">
        <is>
          <t>Webcam</t>
        </is>
      </c>
      <c r="F1109" s="25" t="n">
        <v>1</v>
      </c>
      <c r="G1109" s="25" t="n">
        <v>3200</v>
      </c>
      <c r="H1109" s="28" t="n">
        <v>0</v>
      </c>
      <c r="I1109" s="25" t="n">
        <v>1900</v>
      </c>
    </row>
    <row r="1110">
      <c r="A1110" s="25" t="inlineStr">
        <is>
          <t>ORD-10548</t>
        </is>
      </c>
      <c r="B1110" s="25" t="inlineStr">
        <is>
          <t>15-Apr-2025</t>
        </is>
      </c>
      <c r="C1110" s="25" t="inlineStr">
        <is>
          <t>West</t>
        </is>
      </c>
      <c r="D1110" s="25" t="inlineStr">
        <is>
          <t>Technology</t>
        </is>
      </c>
      <c r="E1110" s="25" t="inlineStr">
        <is>
          <t>Wireless Mouse</t>
        </is>
      </c>
      <c r="F1110" s="25" t="n">
        <v>3</v>
      </c>
      <c r="G1110" s="25" t="n">
        <v>1200</v>
      </c>
      <c r="H1110" s="28" t="n">
        <v>0</v>
      </c>
      <c r="I1110" s="25" t="n">
        <v>650</v>
      </c>
    </row>
    <row r="1111">
      <c r="A1111" s="25" t="inlineStr">
        <is>
          <t>ORD-11177</t>
        </is>
      </c>
      <c r="B1111" s="26" t="n">
        <v>45924</v>
      </c>
      <c r="C1111" s="25" t="inlineStr">
        <is>
          <t>South</t>
        </is>
      </c>
      <c r="D1111" s="25" t="inlineStr">
        <is>
          <t>Accessories</t>
        </is>
      </c>
      <c r="E1111" s="25" t="inlineStr">
        <is>
          <t>Webcam</t>
        </is>
      </c>
      <c r="F1111" s="25" t="n">
        <v>3</v>
      </c>
      <c r="G1111" s="25" t="n">
        <v>3200</v>
      </c>
      <c r="H1111" s="28" t="n">
        <v>0</v>
      </c>
      <c r="I1111" s="25" t="n">
        <v>1900</v>
      </c>
    </row>
    <row r="1112">
      <c r="A1112" s="25" t="inlineStr">
        <is>
          <t>ORD-10145</t>
        </is>
      </c>
      <c r="B1112" s="26" t="n">
        <v>45796</v>
      </c>
      <c r="C1112" s="25" t="inlineStr">
        <is>
          <t>North</t>
        </is>
      </c>
      <c r="D1112" s="25" t="inlineStr">
        <is>
          <t>Office Supplies</t>
        </is>
      </c>
      <c r="E1112" s="25" t="inlineStr">
        <is>
          <t>Printer Paper Box</t>
        </is>
      </c>
      <c r="F1112" s="25" t="n">
        <v>5</v>
      </c>
      <c r="G1112" s="25" t="n">
        <v>1600</v>
      </c>
      <c r="H1112" s="28" t="n">
        <v>0</v>
      </c>
      <c r="I1112" s="25" t="n">
        <v>1050</v>
      </c>
    </row>
    <row r="1113">
      <c r="A1113" s="25" t="inlineStr">
        <is>
          <t>ORD-11070</t>
        </is>
      </c>
      <c r="B1113" s="25" t="inlineStr">
        <is>
          <t>26-Mar-2025</t>
        </is>
      </c>
      <c r="C1113" s="25" t="inlineStr">
        <is>
          <t>West</t>
        </is>
      </c>
      <c r="D1113" s="25" t="inlineStr">
        <is>
          <t>Accessories</t>
        </is>
      </c>
      <c r="E1113" s="25" t="inlineStr">
        <is>
          <t>Webcam</t>
        </is>
      </c>
      <c r="F1113" s="25" t="n">
        <v>3</v>
      </c>
      <c r="G1113" s="25" t="n">
        <v>3200</v>
      </c>
      <c r="H1113" s="28" t="n">
        <v>0.1</v>
      </c>
      <c r="I1113" s="25" t="n">
        <v>1900</v>
      </c>
    </row>
    <row r="1114">
      <c r="A1114" s="25" t="inlineStr">
        <is>
          <t>ORD-10600</t>
        </is>
      </c>
      <c r="B1114" s="25" t="inlineStr">
        <is>
          <t>23-Oct-2025</t>
        </is>
      </c>
      <c r="C1114" s="25" t="inlineStr">
        <is>
          <t>West</t>
        </is>
      </c>
      <c r="D1114" s="25" t="inlineStr">
        <is>
          <t>Furniture</t>
        </is>
      </c>
      <c r="E1114" s="25" t="inlineStr">
        <is>
          <t>Bookshelf</t>
        </is>
      </c>
      <c r="F1114" s="25" t="n">
        <v>1</v>
      </c>
      <c r="G1114" s="25" t="n">
        <v>6200</v>
      </c>
      <c r="H1114" s="28" t="n">
        <v>0.2</v>
      </c>
      <c r="I1114" s="25" t="n">
        <v>4100</v>
      </c>
    </row>
    <row r="1115">
      <c r="A1115" s="25" t="inlineStr">
        <is>
          <t>ORD-10792</t>
        </is>
      </c>
      <c r="B1115" s="26" t="n">
        <v>45905</v>
      </c>
      <c r="C1115" s="25" t="inlineStr">
        <is>
          <t>South</t>
        </is>
      </c>
      <c r="D1115" s="25" t="inlineStr">
        <is>
          <t>Office Supplies</t>
        </is>
      </c>
      <c r="E1115" s="25" t="inlineStr">
        <is>
          <t>Notebook Set</t>
        </is>
      </c>
      <c r="F1115" s="25" t="n">
        <v>1</v>
      </c>
      <c r="G1115" s="25" t="n">
        <v>450</v>
      </c>
      <c r="H1115" s="28" t="n">
        <v>0</v>
      </c>
      <c r="I1115" s="25" t="n">
        <v>190</v>
      </c>
    </row>
    <row r="1116">
      <c r="A1116" s="25" t="inlineStr">
        <is>
          <t>ORD-10353</t>
        </is>
      </c>
      <c r="B1116" s="26" t="n">
        <v>45680</v>
      </c>
      <c r="C1116" s="25" t="inlineStr">
        <is>
          <t>South</t>
        </is>
      </c>
      <c r="D1116" s="25" t="inlineStr">
        <is>
          <t>Accessories</t>
        </is>
      </c>
      <c r="E1116" s="25" t="inlineStr">
        <is>
          <t>Headphones</t>
        </is>
      </c>
      <c r="F1116" s="25" t="n">
        <v>3</v>
      </c>
      <c r="G1116" s="25" t="n">
        <v>4500</v>
      </c>
      <c r="H1116" s="28" t="n">
        <v>0.15</v>
      </c>
      <c r="I1116" s="25" t="n">
        <v>2600</v>
      </c>
    </row>
    <row r="1117">
      <c r="A1117" s="25" t="inlineStr">
        <is>
          <t>ORD-10121</t>
        </is>
      </c>
      <c r="B1117" s="25" t="inlineStr">
        <is>
          <t>16-Dec-2025</t>
        </is>
      </c>
      <c r="C1117" s="25" t="inlineStr">
        <is>
          <t>South</t>
        </is>
      </c>
      <c r="D1117" s="25" t="inlineStr">
        <is>
          <t>Accessories</t>
        </is>
      </c>
      <c r="E1117" s="25" t="inlineStr">
        <is>
          <t>Headphones</t>
        </is>
      </c>
      <c r="F1117" s="25" t="n">
        <v>3</v>
      </c>
      <c r="G1117" s="25" t="n">
        <v>4500</v>
      </c>
      <c r="H1117" s="28" t="n">
        <v>0</v>
      </c>
      <c r="I1117" s="25" t="n">
        <v>2600</v>
      </c>
    </row>
    <row r="1118">
      <c r="A1118" s="25" t="inlineStr">
        <is>
          <t>ORD-11082</t>
        </is>
      </c>
      <c r="B1118" s="26" t="n">
        <v>45827</v>
      </c>
      <c r="C1118" s="25" t="inlineStr">
        <is>
          <t>West</t>
        </is>
      </c>
      <c r="D1118" s="25" t="inlineStr">
        <is>
          <t>Accessories</t>
        </is>
      </c>
      <c r="E1118" s="25" t="inlineStr">
        <is>
          <t>USB-C Hub</t>
        </is>
      </c>
      <c r="F1118" s="25" t="n">
        <v>3</v>
      </c>
      <c r="G1118" s="25" t="n">
        <v>1800</v>
      </c>
      <c r="H1118" s="28" t="n">
        <v>0</v>
      </c>
      <c r="I1118" s="25" t="n">
        <v>980</v>
      </c>
    </row>
    <row r="1119">
      <c r="A1119" s="25" t="inlineStr">
        <is>
          <t>ORD-10939</t>
        </is>
      </c>
      <c r="B1119" s="26" t="n">
        <v>45927</v>
      </c>
      <c r="C1119" s="25" t="inlineStr">
        <is>
          <t>South</t>
        </is>
      </c>
      <c r="D1119" s="25" t="inlineStr">
        <is>
          <t>Office Supplies</t>
        </is>
      </c>
      <c r="E1119" s="25" t="inlineStr">
        <is>
          <t>Notebook Set</t>
        </is>
      </c>
      <c r="F1119" s="25" t="n">
        <v>5</v>
      </c>
      <c r="G1119" s="25" t="n">
        <v>450</v>
      </c>
      <c r="H1119" s="28" t="n">
        <v>0</v>
      </c>
      <c r="I1119" s="25" t="n">
        <v>190</v>
      </c>
    </row>
    <row r="1120">
      <c r="A1120" s="25" t="inlineStr">
        <is>
          <t>ORD-10553</t>
        </is>
      </c>
      <c r="B1120" s="26" t="n">
        <v>46008</v>
      </c>
      <c r="C1120" s="25" t="inlineStr">
        <is>
          <t>South</t>
        </is>
      </c>
      <c r="D1120" s="25" t="inlineStr">
        <is>
          <t>Technology</t>
        </is>
      </c>
      <c r="E1120" s="25" t="inlineStr">
        <is>
          <t>Wireless Mouse</t>
        </is>
      </c>
      <c r="F1120" s="25" t="n">
        <v>3</v>
      </c>
      <c r="G1120" s="25" t="n">
        <v>1200</v>
      </c>
      <c r="H1120" s="28" t="n">
        <v>0</v>
      </c>
      <c r="I1120" s="25" t="n">
        <v>650</v>
      </c>
    </row>
    <row r="1121">
      <c r="A1121" s="25" t="inlineStr">
        <is>
          <t>ORD-10452</t>
        </is>
      </c>
      <c r="B1121" s="26" t="n">
        <v>45734</v>
      </c>
      <c r="C1121" s="25" t="inlineStr">
        <is>
          <t>West</t>
        </is>
      </c>
      <c r="D1121" s="25" t="inlineStr">
        <is>
          <t>Office Supplies</t>
        </is>
      </c>
      <c r="E1121" s="25" t="inlineStr">
        <is>
          <t>Printer Paper Box</t>
        </is>
      </c>
      <c r="F1121" s="25" t="n">
        <v>1</v>
      </c>
      <c r="G1121" s="25" t="n">
        <v>1600</v>
      </c>
      <c r="H1121" s="28" t="n">
        <v>0.05</v>
      </c>
      <c r="I1121" s="25" t="n">
        <v>1050</v>
      </c>
    </row>
    <row r="1122">
      <c r="A1122" s="25" t="inlineStr">
        <is>
          <t>ORD-10035</t>
        </is>
      </c>
      <c r="B1122" s="25" t="inlineStr">
        <is>
          <t>04-Feb-2025</t>
        </is>
      </c>
      <c r="C1122" s="25" t="inlineStr">
        <is>
          <t>West</t>
        </is>
      </c>
      <c r="D1122" s="25" t="inlineStr">
        <is>
          <t>Accessories</t>
        </is>
      </c>
      <c r="E1122" s="25" t="inlineStr">
        <is>
          <t>Headphones</t>
        </is>
      </c>
      <c r="F1122" s="25" t="n">
        <v>3</v>
      </c>
      <c r="G1122" s="25" t="n">
        <v>4500</v>
      </c>
      <c r="H1122" s="28" t="n">
        <v>0.05</v>
      </c>
      <c r="I1122" s="25" t="n">
        <v>2600</v>
      </c>
    </row>
    <row r="1123">
      <c r="A1123" s="25" t="inlineStr">
        <is>
          <t>ORD-10492</t>
        </is>
      </c>
      <c r="B1123" s="26" t="n">
        <v>45698</v>
      </c>
      <c r="C1123" s="25" t="inlineStr">
        <is>
          <t>North</t>
        </is>
      </c>
      <c r="D1123" s="25" t="inlineStr">
        <is>
          <t>Furniture</t>
        </is>
      </c>
      <c r="E1123" s="25" t="inlineStr">
        <is>
          <t>Standing Desk</t>
        </is>
      </c>
      <c r="F1123" s="25" t="n">
        <v>2</v>
      </c>
      <c r="G1123" s="25" t="n">
        <v>19500</v>
      </c>
      <c r="H1123" s="28" t="n">
        <v>0</v>
      </c>
      <c r="I1123" s="25" t="n">
        <v>13800</v>
      </c>
    </row>
    <row r="1124">
      <c r="A1124" s="25" t="inlineStr">
        <is>
          <t>ORD-10456</t>
        </is>
      </c>
      <c r="B1124" s="25" t="inlineStr">
        <is>
          <t>23-Sep-2025</t>
        </is>
      </c>
      <c r="C1124" s="25" t="inlineStr">
        <is>
          <t>West</t>
        </is>
      </c>
      <c r="D1124" s="25" t="inlineStr">
        <is>
          <t>Technology</t>
        </is>
      </c>
      <c r="E1124" s="25" t="inlineStr">
        <is>
          <t>Mechanical Keyboard</t>
        </is>
      </c>
      <c r="F1124" s="25" t="n">
        <v>2</v>
      </c>
      <c r="G1124" s="25" t="n">
        <v>4200</v>
      </c>
      <c r="H1124" s="28" t="n">
        <v>0</v>
      </c>
      <c r="I1124" s="25" t="n">
        <v>2500</v>
      </c>
    </row>
    <row r="1125">
      <c r="A1125" s="25" t="inlineStr">
        <is>
          <t>ORD-10328</t>
        </is>
      </c>
      <c r="B1125" s="26" t="n">
        <v>45858</v>
      </c>
      <c r="C1125" s="25" t="inlineStr">
        <is>
          <t>NORTH</t>
        </is>
      </c>
      <c r="D1125" s="25" t="inlineStr">
        <is>
          <t>Furniture</t>
        </is>
      </c>
      <c r="E1125" s="25" t="inlineStr">
        <is>
          <t>Bookshelf</t>
        </is>
      </c>
      <c r="F1125" s="25" t="n">
        <v>2</v>
      </c>
      <c r="G1125" s="25" t="n">
        <v>6200</v>
      </c>
      <c r="H1125" s="28" t="n">
        <v>0.1</v>
      </c>
      <c r="I1125" s="25" t="n">
        <v>4100</v>
      </c>
    </row>
    <row r="1126">
      <c r="A1126" s="25" t="inlineStr">
        <is>
          <t>ORD-10864</t>
        </is>
      </c>
      <c r="B1126" s="25" t="inlineStr">
        <is>
          <t>20-Aug-2025</t>
        </is>
      </c>
      <c r="C1126" s="25" t="inlineStr">
        <is>
          <t>South</t>
        </is>
      </c>
      <c r="D1126" s="25" t="inlineStr">
        <is>
          <t>Accessories</t>
        </is>
      </c>
      <c r="E1126" s="25" t="inlineStr">
        <is>
          <t>Headphones</t>
        </is>
      </c>
      <c r="F1126" s="25" t="n">
        <v>1</v>
      </c>
      <c r="G1126" s="25" t="n">
        <v>4500</v>
      </c>
      <c r="H1126" s="28" t="n">
        <v>0</v>
      </c>
      <c r="I1126" s="25" t="n">
        <v>2600</v>
      </c>
    </row>
    <row r="1127">
      <c r="A1127" s="25" t="inlineStr">
        <is>
          <t>ORD-10791</t>
        </is>
      </c>
      <c r="B1127" s="26" t="n">
        <v>45769</v>
      </c>
      <c r="C1127" s="25" t="inlineStr">
        <is>
          <t>North</t>
        </is>
      </c>
      <c r="D1127" s="25" t="inlineStr">
        <is>
          <t>Technology</t>
        </is>
      </c>
      <c r="E1127" s="25" t="inlineStr">
        <is>
          <t>Monitor 24"</t>
        </is>
      </c>
      <c r="F1127" s="25" t="n">
        <v>1</v>
      </c>
      <c r="G1127" s="25" t="n">
        <v>11500</v>
      </c>
      <c r="H1127" s="28" t="n">
        <v>0</v>
      </c>
      <c r="I1127" s="25" t="n">
        <v>8200</v>
      </c>
    </row>
    <row r="1128">
      <c r="A1128" s="25" t="inlineStr">
        <is>
          <t>ORD-10475</t>
        </is>
      </c>
      <c r="B1128" s="26" t="n">
        <v>45997</v>
      </c>
      <c r="C1128" s="25" t="inlineStr">
        <is>
          <t>North</t>
        </is>
      </c>
      <c r="D1128" s="25" t="inlineStr">
        <is>
          <t>Office Supplies</t>
        </is>
      </c>
      <c r="E1128" s="25" t="inlineStr">
        <is>
          <t>Printer Paper Box</t>
        </is>
      </c>
      <c r="F1128" s="25" t="n">
        <v>5</v>
      </c>
      <c r="G1128" s="25" t="n">
        <v>1600</v>
      </c>
      <c r="H1128" s="28" t="n">
        <v>0</v>
      </c>
      <c r="I1128" s="25" t="n">
        <v>1050</v>
      </c>
    </row>
    <row r="1129">
      <c r="A1129" s="25" t="inlineStr">
        <is>
          <t>ORD-10486</t>
        </is>
      </c>
      <c r="B1129" s="26" t="n">
        <v>45942</v>
      </c>
      <c r="C1129" s="25" t="inlineStr">
        <is>
          <t>South</t>
        </is>
      </c>
      <c r="D1129" s="25" t="inlineStr">
        <is>
          <t>Accessories</t>
        </is>
      </c>
      <c r="E1129" s="25" t="inlineStr">
        <is>
          <t>Headphones</t>
        </is>
      </c>
      <c r="F1129" s="25" t="n">
        <v>3</v>
      </c>
      <c r="G1129" s="25" t="n">
        <v>4500</v>
      </c>
      <c r="H1129" s="28" t="n">
        <v>0</v>
      </c>
      <c r="I1129" s="25" t="n">
        <v>2600</v>
      </c>
    </row>
    <row r="1130">
      <c r="A1130" s="25" t="inlineStr">
        <is>
          <t>ORD-10985</t>
        </is>
      </c>
      <c r="B1130" s="25" t="inlineStr">
        <is>
          <t>05-May-2025</t>
        </is>
      </c>
      <c r="C1130" s="25" t="inlineStr">
        <is>
          <t>South</t>
        </is>
      </c>
      <c r="D1130" s="25" t="inlineStr">
        <is>
          <t>Furniture</t>
        </is>
      </c>
      <c r="E1130" s="25" t="inlineStr">
        <is>
          <t>Office Chair</t>
        </is>
      </c>
      <c r="F1130" s="25" t="n">
        <v>2</v>
      </c>
      <c r="G1130" s="25" t="n">
        <v>8500</v>
      </c>
      <c r="H1130" s="28" t="n">
        <v>0.2</v>
      </c>
      <c r="I1130" s="25" t="n">
        <v>5600</v>
      </c>
    </row>
    <row r="1131">
      <c r="A1131" s="25" t="inlineStr">
        <is>
          <t>ORD-10550</t>
        </is>
      </c>
      <c r="B1131" s="26" t="n">
        <v>45984</v>
      </c>
      <c r="C1131" s="25" t="inlineStr">
        <is>
          <t>West</t>
        </is>
      </c>
      <c r="D1131" s="25" t="inlineStr">
        <is>
          <t>Technology</t>
        </is>
      </c>
      <c r="E1131" s="25" t="inlineStr">
        <is>
          <t>Monitor 24"</t>
        </is>
      </c>
      <c r="F1131" s="25" t="n">
        <v>1</v>
      </c>
      <c r="G1131" s="25" t="n">
        <v>11500</v>
      </c>
      <c r="H1131" s="28" t="n">
        <v>0</v>
      </c>
      <c r="I1131" s="25" t="n">
        <v>8200</v>
      </c>
    </row>
    <row r="1132">
      <c r="A1132" s="25" t="inlineStr">
        <is>
          <t>ORD-10732</t>
        </is>
      </c>
      <c r="B1132" s="26" t="n">
        <v>45708</v>
      </c>
      <c r="C1132" s="25" t="inlineStr">
        <is>
          <t>North</t>
        </is>
      </c>
      <c r="D1132" s="25" t="inlineStr">
        <is>
          <t>Office Supplies</t>
        </is>
      </c>
      <c r="E1132" s="25" t="inlineStr">
        <is>
          <t>Printer Paper Box</t>
        </is>
      </c>
      <c r="F1132" s="25" t="n">
        <v>6</v>
      </c>
      <c r="G1132" s="25" t="n">
        <v>1600</v>
      </c>
      <c r="H1132" s="28" t="n">
        <v>0.15</v>
      </c>
      <c r="I1132" s="25" t="n">
        <v>1050</v>
      </c>
    </row>
    <row r="1133">
      <c r="A1133" s="25" t="inlineStr">
        <is>
          <t>ORD-10808</t>
        </is>
      </c>
      <c r="B1133" s="26" t="n">
        <v>45805</v>
      </c>
      <c r="C1133" s="25" t="inlineStr">
        <is>
          <t>South</t>
        </is>
      </c>
      <c r="D1133" s="25" t="inlineStr">
        <is>
          <t>Office Supplies</t>
        </is>
      </c>
      <c r="E1133" s="25" t="inlineStr">
        <is>
          <t>Desk Organizer</t>
        </is>
      </c>
      <c r="F1133" s="25" t="n">
        <v>3</v>
      </c>
      <c r="G1133" s="25" t="n">
        <v>850</v>
      </c>
      <c r="H1133" s="28" t="n">
        <v>0.05</v>
      </c>
      <c r="I1133" s="25" t="n">
        <v>420</v>
      </c>
    </row>
    <row r="1134">
      <c r="A1134" s="25" t="inlineStr">
        <is>
          <t>ORD-10689</t>
        </is>
      </c>
      <c r="B1134" s="26" t="n">
        <v>45846</v>
      </c>
      <c r="C1134" s="25" t="inlineStr">
        <is>
          <t>South</t>
        </is>
      </c>
      <c r="D1134" s="25" t="inlineStr">
        <is>
          <t>Office Supplies</t>
        </is>
      </c>
      <c r="E1134" s="25" t="inlineStr">
        <is>
          <t>Notebook Set</t>
        </is>
      </c>
      <c r="F1134" s="25" t="n">
        <v>4</v>
      </c>
      <c r="G1134" s="25" t="n">
        <v>450</v>
      </c>
      <c r="H1134" s="28" t="n">
        <v>0.2</v>
      </c>
      <c r="I1134" s="25" t="n">
        <v>190</v>
      </c>
    </row>
    <row r="1135">
      <c r="A1135" s="25" t="inlineStr">
        <is>
          <t>ORD-10152</t>
        </is>
      </c>
      <c r="B1135" s="26" t="n">
        <v>45890</v>
      </c>
      <c r="C1135" s="25" t="inlineStr">
        <is>
          <t>West</t>
        </is>
      </c>
      <c r="D1135" s="25" t="inlineStr">
        <is>
          <t>Office Supplies</t>
        </is>
      </c>
      <c r="E1135" s="25" t="inlineStr">
        <is>
          <t>Printer Paper Box</t>
        </is>
      </c>
      <c r="F1135" s="25" t="n">
        <v>1</v>
      </c>
      <c r="G1135" s="25" t="n">
        <v>1600</v>
      </c>
      <c r="H1135" s="28" t="n">
        <v>0</v>
      </c>
      <c r="I1135" s="25" t="n">
        <v>1050</v>
      </c>
    </row>
    <row r="1136">
      <c r="A1136" s="25" t="inlineStr">
        <is>
          <t>ORD-10943</t>
        </is>
      </c>
      <c r="B1136" s="26" t="n">
        <v>45733</v>
      </c>
      <c r="C1136" s="25" t="inlineStr">
        <is>
          <t>South</t>
        </is>
      </c>
      <c r="D1136" s="25" t="inlineStr">
        <is>
          <t>Office Supplies</t>
        </is>
      </c>
      <c r="E1136" s="25" t="inlineStr">
        <is>
          <t>Notebook Set</t>
        </is>
      </c>
      <c r="F1136" s="25" t="n">
        <v>1</v>
      </c>
      <c r="G1136" s="25" t="n">
        <v>450</v>
      </c>
      <c r="H1136" s="28" t="n">
        <v>0</v>
      </c>
      <c r="I1136" s="25" t="n">
        <v>190</v>
      </c>
    </row>
    <row r="1137">
      <c r="A1137" s="25" t="inlineStr">
        <is>
          <t>ORD-10751</t>
        </is>
      </c>
      <c r="B1137" s="26" t="n">
        <v>45895</v>
      </c>
      <c r="C1137" s="25" t="inlineStr">
        <is>
          <t>North</t>
        </is>
      </c>
      <c r="D1137" s="25" t="inlineStr">
        <is>
          <t>Office Supplies</t>
        </is>
      </c>
      <c r="E1137" s="25" t="inlineStr">
        <is>
          <t>Notebook Set</t>
        </is>
      </c>
      <c r="F1137" s="25" t="n">
        <v>8</v>
      </c>
      <c r="G1137" s="25" t="n">
        <v>450</v>
      </c>
      <c r="H1137" s="28" t="n">
        <v>0</v>
      </c>
      <c r="I1137" s="25" t="n">
        <v>190</v>
      </c>
    </row>
    <row r="1138">
      <c r="A1138" s="25" t="inlineStr">
        <is>
          <t>ORD-11022</t>
        </is>
      </c>
      <c r="B1138" s="25" t="inlineStr">
        <is>
          <t>28-Aug-2025</t>
        </is>
      </c>
      <c r="C1138" s="25" t="inlineStr">
        <is>
          <t>West</t>
        </is>
      </c>
      <c r="D1138" s="25" t="inlineStr">
        <is>
          <t>Furniture</t>
        </is>
      </c>
      <c r="E1138" s="25" t="inlineStr">
        <is>
          <t>Bookshelf</t>
        </is>
      </c>
      <c r="F1138" s="25" t="n">
        <v>3</v>
      </c>
      <c r="G1138" s="25" t="n">
        <v>6200</v>
      </c>
      <c r="H1138" s="28" t="n">
        <v>0</v>
      </c>
      <c r="I1138" s="25" t="n">
        <v>4100</v>
      </c>
    </row>
    <row r="1139">
      <c r="A1139" s="25" t="inlineStr">
        <is>
          <t>ORD-10979</t>
        </is>
      </c>
      <c r="B1139" s="25" t="inlineStr">
        <is>
          <t>11-Sep-2025</t>
        </is>
      </c>
      <c r="C1139" s="25" t="inlineStr">
        <is>
          <t>East</t>
        </is>
      </c>
      <c r="D1139" s="25" t="inlineStr">
        <is>
          <t>Office Supplies</t>
        </is>
      </c>
      <c r="E1139" s="25" t="inlineStr">
        <is>
          <t>Notebook Set</t>
        </is>
      </c>
      <c r="F1139" s="25" t="n">
        <v>4</v>
      </c>
      <c r="G1139" s="25" t="n">
        <v>450</v>
      </c>
      <c r="H1139" s="28" t="n">
        <v>0</v>
      </c>
      <c r="I1139" s="25" t="n">
        <v>190</v>
      </c>
    </row>
    <row r="1140">
      <c r="A1140" s="25" t="inlineStr">
        <is>
          <t>ORD-11101</t>
        </is>
      </c>
      <c r="B1140" s="26" t="n">
        <v>46017</v>
      </c>
      <c r="C1140" s="25" t="inlineStr">
        <is>
          <t>East</t>
        </is>
      </c>
      <c r="D1140" s="25" t="inlineStr">
        <is>
          <t>Furniture</t>
        </is>
      </c>
      <c r="E1140" s="25" t="inlineStr">
        <is>
          <t>Bookshelf</t>
        </is>
      </c>
      <c r="F1140" s="25" t="n">
        <v>2</v>
      </c>
      <c r="G1140" s="25" t="n">
        <v>6200</v>
      </c>
      <c r="H1140" s="28" t="n">
        <v>0</v>
      </c>
      <c r="I1140" s="25" t="n">
        <v>4100</v>
      </c>
    </row>
    <row r="1141">
      <c r="A1141" s="25" t="inlineStr">
        <is>
          <t>ORD-11198</t>
        </is>
      </c>
      <c r="B1141" s="26" t="n">
        <v>46017</v>
      </c>
      <c r="C1141" s="25" t="inlineStr">
        <is>
          <t>east</t>
        </is>
      </c>
      <c r="D1141" s="25" t="inlineStr">
        <is>
          <t>Technology</t>
        </is>
      </c>
      <c r="E1141" s="25" t="inlineStr">
        <is>
          <t>Monitor 24"</t>
        </is>
      </c>
      <c r="F1141" s="25" t="n">
        <v>1</v>
      </c>
      <c r="G1141" s="25" t="n">
        <v>11500</v>
      </c>
      <c r="H1141" s="28" t="n">
        <v>0</v>
      </c>
      <c r="I1141" s="25" t="n">
        <v>8200</v>
      </c>
    </row>
    <row r="1142">
      <c r="A1142" s="25" t="inlineStr">
        <is>
          <t>ORD-10150</t>
        </is>
      </c>
      <c r="B1142" s="26" t="n">
        <v>45916</v>
      </c>
      <c r="C1142" s="25" t="inlineStr">
        <is>
          <t>West</t>
        </is>
      </c>
      <c r="D1142" s="25" t="inlineStr">
        <is>
          <t>Furniture</t>
        </is>
      </c>
      <c r="E1142" s="25" t="inlineStr">
        <is>
          <t>Standing Desk</t>
        </is>
      </c>
      <c r="F1142" s="25" t="n">
        <v>1</v>
      </c>
      <c r="G1142" s="25" t="n">
        <v>19500</v>
      </c>
      <c r="H1142" s="28" t="n">
        <v>0</v>
      </c>
      <c r="I1142" s="25" t="n">
        <v>13800</v>
      </c>
    </row>
    <row r="1143">
      <c r="A1143" s="25" t="inlineStr">
        <is>
          <t>ORD-10633</t>
        </is>
      </c>
      <c r="B1143" s="25" t="inlineStr">
        <is>
          <t>09-Jan-2025</t>
        </is>
      </c>
      <c r="C1143" s="25" t="inlineStr">
        <is>
          <t>South</t>
        </is>
      </c>
      <c r="D1143" s="25" t="inlineStr">
        <is>
          <t>Furniture</t>
        </is>
      </c>
      <c r="E1143" s="25" t="inlineStr">
        <is>
          <t>Standing Desk</t>
        </is>
      </c>
      <c r="F1143" s="25" t="n">
        <v>2</v>
      </c>
      <c r="G1143" s="25" t="n">
        <v>19500</v>
      </c>
      <c r="H1143" s="28" t="n">
        <v>0</v>
      </c>
      <c r="I1143" s="25" t="n">
        <v>13800</v>
      </c>
    </row>
    <row r="1144">
      <c r="A1144" s="25" t="inlineStr">
        <is>
          <t>ORD-10040</t>
        </is>
      </c>
      <c r="B1144" s="26" t="n">
        <v>45827</v>
      </c>
      <c r="C1144" s="25" t="inlineStr">
        <is>
          <t>West</t>
        </is>
      </c>
      <c r="D1144" s="25" t="inlineStr">
        <is>
          <t>Furniture</t>
        </is>
      </c>
      <c r="E1144" s="25" t="inlineStr">
        <is>
          <t>Bookshelf</t>
        </is>
      </c>
      <c r="F1144" s="25" t="n">
        <v>1</v>
      </c>
      <c r="G1144" s="25" t="n">
        <v>6200</v>
      </c>
      <c r="H1144" s="28" t="n">
        <v>0</v>
      </c>
      <c r="I1144" s="25" t="n">
        <v>4100</v>
      </c>
    </row>
    <row r="1145">
      <c r="A1145" s="25" t="inlineStr">
        <is>
          <t>ORD-11170</t>
        </is>
      </c>
      <c r="B1145" s="26" t="n">
        <v>45733</v>
      </c>
      <c r="C1145" s="25" t="inlineStr">
        <is>
          <t>East</t>
        </is>
      </c>
      <c r="D1145" s="25" t="inlineStr">
        <is>
          <t>Office Supplies</t>
        </is>
      </c>
      <c r="E1145" s="25" t="inlineStr">
        <is>
          <t>Notebook Set</t>
        </is>
      </c>
      <c r="F1145" s="25" t="n">
        <v>7</v>
      </c>
      <c r="G1145" s="25" t="n">
        <v>450</v>
      </c>
      <c r="H1145" s="28" t="n">
        <v>0</v>
      </c>
      <c r="I1145" s="25" t="n">
        <v>190</v>
      </c>
    </row>
    <row r="1146">
      <c r="A1146" s="25" t="inlineStr">
        <is>
          <t>ORD-10217</t>
        </is>
      </c>
      <c r="B1146" s="25" t="inlineStr">
        <is>
          <t>16-Sep-2025</t>
        </is>
      </c>
      <c r="C1146" s="25" t="inlineStr">
        <is>
          <t>South</t>
        </is>
      </c>
      <c r="D1146" s="25" t="inlineStr">
        <is>
          <t>Furniture</t>
        </is>
      </c>
      <c r="E1146" s="25" t="inlineStr">
        <is>
          <t>Bookshelf</t>
        </is>
      </c>
      <c r="F1146" s="25" t="n">
        <v>2</v>
      </c>
      <c r="G1146" s="25" t="n">
        <v>6200</v>
      </c>
      <c r="H1146" s="28" t="n">
        <v>0.15</v>
      </c>
      <c r="I1146" s="25" t="n">
        <v>4100</v>
      </c>
    </row>
    <row r="1147">
      <c r="A1147" s="25" t="inlineStr">
        <is>
          <t>ORD-10947</t>
        </is>
      </c>
      <c r="B1147" s="26" t="n">
        <v>45976</v>
      </c>
      <c r="C1147" s="25" t="inlineStr">
        <is>
          <t>East</t>
        </is>
      </c>
      <c r="D1147" s="25" t="inlineStr">
        <is>
          <t>Technology</t>
        </is>
      </c>
      <c r="E1147" s="25" t="inlineStr">
        <is>
          <t>Wireless Mouse</t>
        </is>
      </c>
      <c r="F1147" s="25" t="n">
        <v>3</v>
      </c>
      <c r="G1147" s="25" t="n">
        <v>1200</v>
      </c>
      <c r="H1147" s="28" t="n">
        <v>0.15</v>
      </c>
      <c r="I1147" s="25" t="n">
        <v>650</v>
      </c>
    </row>
    <row r="1148">
      <c r="A1148" s="25" t="inlineStr">
        <is>
          <t>ORD-10470</t>
        </is>
      </c>
      <c r="B1148" s="26" t="n">
        <v>45705</v>
      </c>
      <c r="C1148" s="25" t="inlineStr">
        <is>
          <t>North</t>
        </is>
      </c>
      <c r="D1148" s="25" t="inlineStr">
        <is>
          <t>Office Supplies</t>
        </is>
      </c>
      <c r="E1148" s="25" t="inlineStr">
        <is>
          <t>Printer Paper Box</t>
        </is>
      </c>
      <c r="F1148" s="25" t="n">
        <v>2</v>
      </c>
      <c r="G1148" s="25" t="n">
        <v>1600</v>
      </c>
      <c r="H1148" s="28" t="n">
        <v>0.05</v>
      </c>
      <c r="I1148" s="25" t="n">
        <v>1050</v>
      </c>
    </row>
    <row r="1149">
      <c r="A1149" s="25" t="inlineStr">
        <is>
          <t>ORD-10173</t>
        </is>
      </c>
      <c r="B1149" s="26" t="n">
        <v>45828</v>
      </c>
      <c r="C1149" s="25" t="inlineStr">
        <is>
          <t>East</t>
        </is>
      </c>
      <c r="D1149" s="25" t="inlineStr">
        <is>
          <t>Office Supplies</t>
        </is>
      </c>
      <c r="E1149" s="25" t="inlineStr">
        <is>
          <t>Printer Paper Box</t>
        </is>
      </c>
      <c r="F1149" s="25" t="n">
        <v>6</v>
      </c>
      <c r="G1149" s="25" t="n">
        <v>1600</v>
      </c>
      <c r="H1149" s="28" t="n">
        <v>0.05</v>
      </c>
      <c r="I1149" s="25" t="n">
        <v>1050</v>
      </c>
    </row>
    <row r="1150">
      <c r="A1150" s="25" t="inlineStr">
        <is>
          <t>ORD-10877</t>
        </is>
      </c>
      <c r="B1150" s="25" t="inlineStr">
        <is>
          <t>04-Jan-2025</t>
        </is>
      </c>
      <c r="C1150" s="25" t="inlineStr">
        <is>
          <t>South</t>
        </is>
      </c>
      <c r="D1150" s="25" t="inlineStr">
        <is>
          <t>Technology</t>
        </is>
      </c>
      <c r="E1150" s="25" t="inlineStr">
        <is>
          <t>Wireless Mouse</t>
        </is>
      </c>
      <c r="F1150" s="25" t="n">
        <v>4</v>
      </c>
      <c r="G1150" s="25" t="n">
        <v>1200</v>
      </c>
      <c r="H1150" s="28" t="n">
        <v>0</v>
      </c>
      <c r="I1150" s="25" t="n">
        <v>650</v>
      </c>
    </row>
    <row r="1151">
      <c r="A1151" s="25" t="inlineStr">
        <is>
          <t>ORD-10214</t>
        </is>
      </c>
      <c r="B1151" s="26" t="n">
        <v>45860</v>
      </c>
      <c r="C1151" s="25" t="inlineStr">
        <is>
          <t>WEST</t>
        </is>
      </c>
      <c r="D1151" s="25" t="inlineStr">
        <is>
          <t>Accessories</t>
        </is>
      </c>
      <c r="E1151" s="25" t="inlineStr">
        <is>
          <t>Webcam</t>
        </is>
      </c>
      <c r="F1151" s="25" t="n">
        <v>2</v>
      </c>
      <c r="G1151" s="25" t="n">
        <v>3200</v>
      </c>
      <c r="H1151" s="28" t="n">
        <v>0</v>
      </c>
      <c r="I1151" s="25" t="n">
        <v>1900</v>
      </c>
    </row>
    <row r="1152">
      <c r="A1152" s="25" t="inlineStr">
        <is>
          <t>ORD-10568</t>
        </is>
      </c>
      <c r="B1152" s="25" t="inlineStr">
        <is>
          <t>05-Oct-2025</t>
        </is>
      </c>
      <c r="C1152" s="25" t="inlineStr">
        <is>
          <t>West</t>
        </is>
      </c>
      <c r="D1152" s="25" t="inlineStr">
        <is>
          <t>Furniture</t>
        </is>
      </c>
      <c r="E1152" s="25" t="inlineStr">
        <is>
          <t>Standing Desk</t>
        </is>
      </c>
      <c r="F1152" s="25" t="n">
        <v>1</v>
      </c>
      <c r="G1152" s="25" t="n">
        <v>19500</v>
      </c>
      <c r="H1152" s="28" t="n">
        <v>0.1</v>
      </c>
      <c r="I1152" s="25" t="n">
        <v>13800</v>
      </c>
    </row>
    <row r="1153">
      <c r="A1153" s="25" t="inlineStr">
        <is>
          <t>ORD-10285</t>
        </is>
      </c>
      <c r="B1153" s="26" t="n">
        <v>46007</v>
      </c>
      <c r="C1153" s="25" t="inlineStr">
        <is>
          <t>west</t>
        </is>
      </c>
      <c r="D1153" s="25" t="inlineStr">
        <is>
          <t>Technology</t>
        </is>
      </c>
      <c r="E1153" s="25" t="inlineStr">
        <is>
          <t>Monitor 24"</t>
        </is>
      </c>
      <c r="F1153" s="25" t="n">
        <v>1</v>
      </c>
      <c r="G1153" s="25" t="n">
        <v>11500</v>
      </c>
      <c r="H1153" s="28" t="n">
        <v>0.1</v>
      </c>
      <c r="I1153" s="25" t="n">
        <v>8200</v>
      </c>
    </row>
    <row r="1154">
      <c r="A1154" s="25" t="inlineStr">
        <is>
          <t>ORD-10803</t>
        </is>
      </c>
      <c r="B1154" s="25" t="inlineStr">
        <is>
          <t>28-Feb-2025</t>
        </is>
      </c>
      <c r="C1154" s="25" t="inlineStr">
        <is>
          <t>North</t>
        </is>
      </c>
      <c r="D1154" s="25" t="inlineStr">
        <is>
          <t>Office Supplies</t>
        </is>
      </c>
      <c r="E1154" s="25" t="inlineStr">
        <is>
          <t>Notebook Set</t>
        </is>
      </c>
      <c r="F1154" s="25" t="n">
        <v>1</v>
      </c>
      <c r="G1154" s="25" t="n">
        <v>450</v>
      </c>
      <c r="H1154" s="28" t="n">
        <v>0.15</v>
      </c>
      <c r="I1154" s="25" t="n">
        <v>190</v>
      </c>
    </row>
    <row r="1155">
      <c r="A1155" s="25" t="inlineStr">
        <is>
          <t>ORD-11200</t>
        </is>
      </c>
      <c r="B1155" s="26" t="n">
        <v>45903</v>
      </c>
      <c r="C1155" s="25" t="inlineStr">
        <is>
          <t>South</t>
        </is>
      </c>
      <c r="D1155" s="25" t="inlineStr">
        <is>
          <t>Office Supplies</t>
        </is>
      </c>
      <c r="E1155" s="25" t="inlineStr">
        <is>
          <t>Printer Paper Box</t>
        </is>
      </c>
      <c r="F1155" s="25" t="n">
        <v>3</v>
      </c>
      <c r="G1155" s="25" t="n">
        <v>1600</v>
      </c>
      <c r="H1155" s="28" t="n">
        <v>0.15</v>
      </c>
      <c r="I1155" s="25" t="n">
        <v>1050</v>
      </c>
    </row>
    <row r="1156">
      <c r="A1156" s="25" t="inlineStr">
        <is>
          <t>ORD-10467</t>
        </is>
      </c>
      <c r="B1156" s="26" t="n">
        <v>46008</v>
      </c>
      <c r="C1156" s="25" t="inlineStr">
        <is>
          <t>West</t>
        </is>
      </c>
      <c r="D1156" s="25" t="inlineStr">
        <is>
          <t>Office Supplies</t>
        </is>
      </c>
      <c r="E1156" s="25" t="inlineStr">
        <is>
          <t>Notebook Set</t>
        </is>
      </c>
      <c r="F1156" s="25" t="n">
        <v>6</v>
      </c>
      <c r="G1156" s="25" t="n">
        <v>450</v>
      </c>
      <c r="H1156" s="28" t="n">
        <v>0</v>
      </c>
      <c r="I1156" s="25" t="n">
        <v>190</v>
      </c>
    </row>
    <row r="1157">
      <c r="A1157" s="25" t="inlineStr">
        <is>
          <t>ORD-10405</t>
        </is>
      </c>
      <c r="B1157" s="26" t="n">
        <v>45846</v>
      </c>
      <c r="C1157" s="25" t="inlineStr">
        <is>
          <t>West</t>
        </is>
      </c>
      <c r="D1157" s="25" t="inlineStr">
        <is>
          <t>Furniture</t>
        </is>
      </c>
      <c r="E1157" s="25" t="inlineStr">
        <is>
          <t>Bookshelf</t>
        </is>
      </c>
      <c r="F1157" s="25" t="n">
        <v>2</v>
      </c>
      <c r="G1157" s="25" t="n">
        <v>6200</v>
      </c>
      <c r="H1157" s="28" t="n">
        <v>0.1</v>
      </c>
      <c r="I1157" s="25" t="n">
        <v>4100</v>
      </c>
    </row>
    <row r="1158">
      <c r="A1158" s="25" t="inlineStr">
        <is>
          <t>ORD-10207</t>
        </is>
      </c>
      <c r="B1158" s="26" t="n">
        <v>46018</v>
      </c>
      <c r="C1158" s="25" t="inlineStr">
        <is>
          <t>North</t>
        </is>
      </c>
      <c r="D1158" s="25" t="inlineStr">
        <is>
          <t>Office Supplies</t>
        </is>
      </c>
      <c r="E1158" s="25" t="inlineStr">
        <is>
          <t>Printer Paper Box</t>
        </is>
      </c>
      <c r="F1158" s="25" t="n">
        <v>2</v>
      </c>
      <c r="G1158" s="25" t="n">
        <v>1600</v>
      </c>
      <c r="H1158" s="28" t="n">
        <v>0</v>
      </c>
      <c r="I1158" s="25" t="n">
        <v>1050</v>
      </c>
    </row>
    <row r="1159">
      <c r="A1159" s="25" t="inlineStr">
        <is>
          <t>ORD-11085</t>
        </is>
      </c>
      <c r="B1159" s="26" t="n">
        <v>45948</v>
      </c>
      <c r="C1159" s="25" t="inlineStr">
        <is>
          <t>South</t>
        </is>
      </c>
      <c r="D1159" s="25" t="inlineStr">
        <is>
          <t>Technology</t>
        </is>
      </c>
      <c r="E1159" s="25" t="inlineStr">
        <is>
          <t>Mechanical Keyboard</t>
        </is>
      </c>
      <c r="F1159" s="25" t="n">
        <v>2</v>
      </c>
      <c r="G1159" s="25" t="n">
        <v>4200</v>
      </c>
      <c r="H1159" s="28" t="n">
        <v>0</v>
      </c>
      <c r="I1159" s="25" t="n">
        <v>2500</v>
      </c>
    </row>
    <row r="1160">
      <c r="A1160" s="25" t="inlineStr">
        <is>
          <t>ORD-10234</t>
        </is>
      </c>
      <c r="B1160" s="26" t="n">
        <v>45794</v>
      </c>
      <c r="C1160" s="25" t="inlineStr">
        <is>
          <t>West</t>
        </is>
      </c>
      <c r="D1160" s="25" t="inlineStr">
        <is>
          <t>Accessories</t>
        </is>
      </c>
      <c r="E1160" s="25" t="inlineStr">
        <is>
          <t>Webcam</t>
        </is>
      </c>
      <c r="F1160" s="25" t="n">
        <v>3</v>
      </c>
      <c r="G1160" s="25" t="n">
        <v>3200</v>
      </c>
      <c r="H1160" s="28" t="n">
        <v>0</v>
      </c>
      <c r="I1160" s="25" t="n">
        <v>1900</v>
      </c>
    </row>
    <row r="1161">
      <c r="A1161" s="25" t="inlineStr">
        <is>
          <t>ORD-10037</t>
        </is>
      </c>
      <c r="B1161" s="26" t="n">
        <v>45682</v>
      </c>
      <c r="C1161" s="25" t="inlineStr">
        <is>
          <t>East</t>
        </is>
      </c>
      <c r="D1161" s="25" t="inlineStr">
        <is>
          <t>Accessories</t>
        </is>
      </c>
      <c r="E1161" s="25" t="inlineStr">
        <is>
          <t>USB-C Hub</t>
        </is>
      </c>
      <c r="F1161" s="25" t="n">
        <v>2</v>
      </c>
      <c r="G1161" s="25" t="n">
        <v>1800</v>
      </c>
      <c r="H1161" s="28" t="n">
        <v>0</v>
      </c>
      <c r="I1161" s="25" t="n">
        <v>980</v>
      </c>
    </row>
    <row r="1162">
      <c r="A1162" s="25" t="inlineStr">
        <is>
          <t>ORD-10674</t>
        </is>
      </c>
      <c r="B1162" s="25" t="inlineStr">
        <is>
          <t>13-Jun-2025</t>
        </is>
      </c>
      <c r="C1162" s="25" t="inlineStr">
        <is>
          <t>West</t>
        </is>
      </c>
      <c r="D1162" s="25" t="inlineStr">
        <is>
          <t>Technology</t>
        </is>
      </c>
      <c r="E1162" s="25" t="inlineStr">
        <is>
          <t>Monitor 24"</t>
        </is>
      </c>
      <c r="F1162" s="25" t="n">
        <v>2</v>
      </c>
      <c r="G1162" s="25" t="n">
        <v>11500</v>
      </c>
      <c r="H1162" s="28" t="n">
        <v>0.05</v>
      </c>
      <c r="I1162" s="25" t="n">
        <v>8200</v>
      </c>
    </row>
    <row r="1163">
      <c r="A1163" s="25" t="inlineStr">
        <is>
          <t>ORD-11028</t>
        </is>
      </c>
      <c r="B1163" s="26" t="n">
        <v>45989</v>
      </c>
      <c r="C1163" s="25" t="inlineStr">
        <is>
          <t>West</t>
        </is>
      </c>
      <c r="D1163" s="25" t="inlineStr">
        <is>
          <t>Office Supplies</t>
        </is>
      </c>
      <c r="E1163" s="25" t="inlineStr">
        <is>
          <t>Desk Organizer</t>
        </is>
      </c>
      <c r="F1163" s="25" t="n">
        <v>2</v>
      </c>
      <c r="G1163" s="25" t="n">
        <v>850</v>
      </c>
      <c r="H1163" s="28" t="n">
        <v>0</v>
      </c>
      <c r="I1163" s="25" t="n">
        <v>420</v>
      </c>
    </row>
    <row r="1164">
      <c r="A1164" s="25" t="inlineStr">
        <is>
          <t>ORD-11020</t>
        </is>
      </c>
      <c r="B1164" s="26" t="n">
        <v>45751</v>
      </c>
      <c r="C1164" s="25" t="inlineStr">
        <is>
          <t>North</t>
        </is>
      </c>
      <c r="D1164" s="25" t="inlineStr">
        <is>
          <t>Technology</t>
        </is>
      </c>
      <c r="E1164" s="25" t="inlineStr">
        <is>
          <t>Wireless Mouse</t>
        </is>
      </c>
      <c r="F1164" s="25" t="n">
        <v>4</v>
      </c>
      <c r="G1164" s="25" t="n">
        <v>1200</v>
      </c>
      <c r="H1164" s="28" t="n">
        <v>0.2</v>
      </c>
      <c r="I1164" s="25" t="n">
        <v>650</v>
      </c>
    </row>
    <row r="1165">
      <c r="A1165" s="25" t="inlineStr">
        <is>
          <t>ORD-10655</t>
        </is>
      </c>
      <c r="B1165" s="26" t="n">
        <v>45787</v>
      </c>
      <c r="C1165" s="25" t="inlineStr">
        <is>
          <t>NORTH</t>
        </is>
      </c>
      <c r="D1165" s="25" t="inlineStr">
        <is>
          <t>Accessories</t>
        </is>
      </c>
      <c r="E1165" s="25" t="inlineStr">
        <is>
          <t>USB-C Hub</t>
        </is>
      </c>
      <c r="F1165" s="25" t="n">
        <v>2</v>
      </c>
      <c r="G1165" s="25" t="n">
        <v>1800</v>
      </c>
      <c r="H1165" s="28" t="n">
        <v>0</v>
      </c>
      <c r="I1165" s="25" t="n">
        <v>980</v>
      </c>
    </row>
    <row r="1166">
      <c r="A1166" s="25" t="inlineStr">
        <is>
          <t>ORD-11010</t>
        </is>
      </c>
      <c r="B1166" s="26" t="n">
        <v>45679</v>
      </c>
      <c r="C1166" s="25" t="inlineStr">
        <is>
          <t>South</t>
        </is>
      </c>
      <c r="D1166" s="25" t="inlineStr">
        <is>
          <t>Office Supplies</t>
        </is>
      </c>
      <c r="E1166" s="25" t="inlineStr">
        <is>
          <t>Printer Paper Box</t>
        </is>
      </c>
      <c r="F1166" s="25" t="n">
        <v>6</v>
      </c>
      <c r="G1166" s="25" t="n">
        <v>1600</v>
      </c>
      <c r="H1166" s="28" t="n">
        <v>0</v>
      </c>
      <c r="I1166" s="25" t="n">
        <v>1050</v>
      </c>
    </row>
    <row r="1167">
      <c r="A1167" s="25" t="inlineStr">
        <is>
          <t>ORD-10581</t>
        </is>
      </c>
      <c r="B1167" s="26" t="n">
        <v>45979</v>
      </c>
      <c r="C1167" s="25" t="inlineStr">
        <is>
          <t>West</t>
        </is>
      </c>
      <c r="D1167" s="25" t="inlineStr">
        <is>
          <t>Furniture</t>
        </is>
      </c>
      <c r="E1167" s="25" t="inlineStr">
        <is>
          <t>Bookshelf</t>
        </is>
      </c>
      <c r="F1167" s="25" t="n">
        <v>2</v>
      </c>
      <c r="G1167" s="25" t="n">
        <v>6200</v>
      </c>
      <c r="H1167" s="28" t="n">
        <v>0</v>
      </c>
      <c r="I1167" s="25" t="n">
        <v>4100</v>
      </c>
    </row>
    <row r="1168">
      <c r="A1168" s="25" t="inlineStr">
        <is>
          <t>ORD-10747</t>
        </is>
      </c>
      <c r="B1168" s="25" t="inlineStr">
        <is>
          <t>13-Apr-2025</t>
        </is>
      </c>
      <c r="C1168" s="25" t="inlineStr">
        <is>
          <t>West</t>
        </is>
      </c>
      <c r="D1168" s="25" t="inlineStr">
        <is>
          <t>Furniture</t>
        </is>
      </c>
      <c r="E1168" s="25" t="inlineStr">
        <is>
          <t>Standing Desk</t>
        </is>
      </c>
      <c r="F1168" s="25" t="n">
        <v>1</v>
      </c>
      <c r="G1168" s="25" t="n">
        <v>19500</v>
      </c>
      <c r="H1168" s="28" t="n">
        <v>0.15</v>
      </c>
      <c r="I1168" s="25" t="n">
        <v>13800</v>
      </c>
    </row>
    <row r="1169">
      <c r="A1169" s="25" t="inlineStr">
        <is>
          <t>ORD-10150</t>
        </is>
      </c>
      <c r="B1169" s="26" t="n">
        <v>45916</v>
      </c>
      <c r="C1169" s="25" t="inlineStr">
        <is>
          <t>West</t>
        </is>
      </c>
      <c r="D1169" s="25" t="inlineStr">
        <is>
          <t>Furniture</t>
        </is>
      </c>
      <c r="E1169" s="25" t="inlineStr">
        <is>
          <t>Standing Desk</t>
        </is>
      </c>
      <c r="F1169" s="25" t="n">
        <v>1</v>
      </c>
      <c r="G1169" s="25" t="n">
        <v>19500</v>
      </c>
      <c r="H1169" s="28" t="n">
        <v>0</v>
      </c>
      <c r="I1169" s="25" t="n">
        <v>13800</v>
      </c>
    </row>
    <row r="1170">
      <c r="A1170" s="25" t="inlineStr">
        <is>
          <t>ORD-10323</t>
        </is>
      </c>
      <c r="B1170" s="26" t="n">
        <v>45721</v>
      </c>
      <c r="C1170" s="25" t="inlineStr">
        <is>
          <t>North</t>
        </is>
      </c>
      <c r="D1170" s="25" t="inlineStr">
        <is>
          <t>Accessories</t>
        </is>
      </c>
      <c r="E1170" s="25" t="inlineStr">
        <is>
          <t>Webcam</t>
        </is>
      </c>
      <c r="F1170" s="25" t="n">
        <v>3</v>
      </c>
      <c r="G1170" s="25" t="n">
        <v>3200</v>
      </c>
      <c r="H1170" s="28" t="n">
        <v>0.2</v>
      </c>
      <c r="I1170" s="25" t="n">
        <v>1900</v>
      </c>
    </row>
    <row r="1171">
      <c r="A1171" s="25" t="inlineStr">
        <is>
          <t>ORD-10078</t>
        </is>
      </c>
      <c r="B1171" s="26" t="n">
        <v>46006</v>
      </c>
      <c r="C1171" s="25" t="inlineStr">
        <is>
          <t>East</t>
        </is>
      </c>
      <c r="D1171" s="25" t="inlineStr">
        <is>
          <t>Technology</t>
        </is>
      </c>
      <c r="E1171" s="25" t="inlineStr">
        <is>
          <t>Wireless Mouse</t>
        </is>
      </c>
      <c r="F1171" s="25" t="n">
        <v>5</v>
      </c>
      <c r="G1171" s="25" t="n">
        <v>1200</v>
      </c>
      <c r="H1171" s="28" t="n">
        <v>0.05</v>
      </c>
      <c r="I1171" s="25" t="n">
        <v>650</v>
      </c>
    </row>
    <row r="1172">
      <c r="A1172" s="25" t="inlineStr">
        <is>
          <t>ORD-10553</t>
        </is>
      </c>
      <c r="B1172" s="26" t="n">
        <v>46008</v>
      </c>
      <c r="C1172" s="25" t="inlineStr">
        <is>
          <t>South</t>
        </is>
      </c>
      <c r="D1172" s="25" t="inlineStr">
        <is>
          <t>Technology</t>
        </is>
      </c>
      <c r="E1172" s="25" t="inlineStr">
        <is>
          <t>Wireless Mouse</t>
        </is>
      </c>
      <c r="F1172" s="25" t="n">
        <v>3</v>
      </c>
      <c r="G1172" s="25" t="n">
        <v>1200</v>
      </c>
      <c r="H1172" s="28" t="n">
        <v>0</v>
      </c>
      <c r="I1172" s="25" t="n">
        <v>650</v>
      </c>
    </row>
    <row r="1173">
      <c r="A1173" s="25" t="inlineStr">
        <is>
          <t>ORD-10555</t>
        </is>
      </c>
      <c r="B1173" s="26" t="n">
        <v>45938</v>
      </c>
      <c r="C1173" s="25" t="inlineStr">
        <is>
          <t>South</t>
        </is>
      </c>
      <c r="D1173" s="25" t="inlineStr">
        <is>
          <t>Technology</t>
        </is>
      </c>
      <c r="E1173" s="25" t="inlineStr">
        <is>
          <t>Wireless Mouse</t>
        </is>
      </c>
      <c r="F1173" s="25" t="n">
        <v>1</v>
      </c>
      <c r="G1173" s="25" t="n">
        <v>1200</v>
      </c>
      <c r="H1173" s="28" t="n">
        <v>0.05</v>
      </c>
      <c r="I1173" s="25" t="n">
        <v>650</v>
      </c>
    </row>
    <row r="1174">
      <c r="A1174" s="25" t="inlineStr">
        <is>
          <t>ORD-10102</t>
        </is>
      </c>
      <c r="B1174" s="25" t="inlineStr">
        <is>
          <t>03-Mar-2025</t>
        </is>
      </c>
      <c r="C1174" s="25" t="inlineStr">
        <is>
          <t xml:space="preserve"> East</t>
        </is>
      </c>
      <c r="D1174" s="25" t="inlineStr">
        <is>
          <t>Accessories</t>
        </is>
      </c>
      <c r="E1174" s="25" t="inlineStr">
        <is>
          <t>Webcam</t>
        </is>
      </c>
      <c r="F1174" s="25" t="n">
        <v>2</v>
      </c>
      <c r="G1174" s="25" t="n">
        <v>3200</v>
      </c>
      <c r="H1174" s="28" t="n">
        <v>0.1</v>
      </c>
      <c r="I1174" s="25" t="n">
        <v>1900</v>
      </c>
    </row>
    <row r="1175">
      <c r="A1175" s="25" t="inlineStr">
        <is>
          <t>ORD-11189</t>
        </is>
      </c>
      <c r="B1175" s="26" t="n">
        <v>45792</v>
      </c>
      <c r="C1175" s="25" t="inlineStr">
        <is>
          <t>North</t>
        </is>
      </c>
      <c r="D1175" s="25" t="inlineStr">
        <is>
          <t>Accessories</t>
        </is>
      </c>
      <c r="E1175" s="25" t="inlineStr">
        <is>
          <t>USB-C Hub</t>
        </is>
      </c>
      <c r="F1175" s="25" t="n">
        <v>2</v>
      </c>
      <c r="G1175" s="25" t="n">
        <v>1800</v>
      </c>
      <c r="H1175" s="28" t="n">
        <v>0</v>
      </c>
      <c r="I1175" s="25" t="n">
        <v>980</v>
      </c>
    </row>
    <row r="1176">
      <c r="A1176" s="25" t="inlineStr">
        <is>
          <t>ORD-11149</t>
        </is>
      </c>
      <c r="B1176" s="26" t="n">
        <v>45759</v>
      </c>
      <c r="C1176" s="25" t="inlineStr">
        <is>
          <t>South</t>
        </is>
      </c>
      <c r="D1176" s="25" t="inlineStr">
        <is>
          <t>Furniture</t>
        </is>
      </c>
      <c r="E1176" s="25" t="inlineStr">
        <is>
          <t>Office Chair</t>
        </is>
      </c>
      <c r="F1176" s="25" t="n">
        <v>1</v>
      </c>
      <c r="G1176" s="25" t="n">
        <v>8500</v>
      </c>
      <c r="H1176" s="28" t="n">
        <v>0.05</v>
      </c>
      <c r="I1176" s="25" t="n">
        <v>5600</v>
      </c>
    </row>
    <row r="1177">
      <c r="A1177" s="25" t="inlineStr">
        <is>
          <t>ORD-10010</t>
        </is>
      </c>
      <c r="B1177" s="26" t="n">
        <v>45842</v>
      </c>
      <c r="C1177" s="25" t="inlineStr">
        <is>
          <t>East</t>
        </is>
      </c>
      <c r="D1177" s="25" t="inlineStr">
        <is>
          <t>Technology</t>
        </is>
      </c>
      <c r="E1177" s="25" t="inlineStr">
        <is>
          <t>Mechanical Keyboard</t>
        </is>
      </c>
      <c r="F1177" s="25" t="n">
        <v>2</v>
      </c>
      <c r="G1177" s="25" t="n">
        <v>4200</v>
      </c>
      <c r="H1177" s="28" t="n">
        <v>0.1</v>
      </c>
      <c r="I1177" s="25" t="n">
        <v>2500</v>
      </c>
    </row>
    <row r="1178">
      <c r="A1178" s="25" t="inlineStr">
        <is>
          <t>ORD-11154</t>
        </is>
      </c>
      <c r="B1178" s="26" t="n">
        <v>45694</v>
      </c>
      <c r="C1178" s="25" t="inlineStr">
        <is>
          <t>East</t>
        </is>
      </c>
      <c r="D1178" s="25" t="inlineStr">
        <is>
          <t>Office Supplies</t>
        </is>
      </c>
      <c r="E1178" s="25" t="inlineStr">
        <is>
          <t>Printer Paper Box</t>
        </is>
      </c>
      <c r="F1178" s="25" t="n">
        <v>2</v>
      </c>
      <c r="G1178" s="25" t="n">
        <v>1600</v>
      </c>
      <c r="H1178" s="28" t="n">
        <v>0.1</v>
      </c>
      <c r="I1178" s="25" t="n">
        <v>1050</v>
      </c>
    </row>
    <row r="1179">
      <c r="A1179" s="25" t="inlineStr">
        <is>
          <t>ORD-11095</t>
        </is>
      </c>
      <c r="B1179" s="26" t="n">
        <v>45965</v>
      </c>
      <c r="C1179" s="25" t="inlineStr">
        <is>
          <t>East</t>
        </is>
      </c>
      <c r="D1179" s="25" t="inlineStr">
        <is>
          <t>Office Supplies</t>
        </is>
      </c>
      <c r="E1179" s="25" t="inlineStr">
        <is>
          <t>Printer Paper Box</t>
        </is>
      </c>
      <c r="F1179" s="25" t="n">
        <v>2</v>
      </c>
      <c r="G1179" s="25" t="n">
        <v>1600</v>
      </c>
      <c r="H1179" s="28" t="n">
        <v>0</v>
      </c>
      <c r="I1179" s="25" t="n">
        <v>1050</v>
      </c>
    </row>
    <row r="1180">
      <c r="A1180" s="25" t="inlineStr">
        <is>
          <t>ORD-10252</t>
        </is>
      </c>
      <c r="B1180" s="26" t="n">
        <v>45787</v>
      </c>
      <c r="C1180" s="25" t="inlineStr">
        <is>
          <t>South</t>
        </is>
      </c>
      <c r="D1180" s="25" t="inlineStr">
        <is>
          <t>Accessories</t>
        </is>
      </c>
      <c r="E1180" s="25" t="inlineStr">
        <is>
          <t>USB-C Hub</t>
        </is>
      </c>
      <c r="F1180" s="25" t="n">
        <v>2</v>
      </c>
      <c r="G1180" s="25" t="n">
        <v>1800</v>
      </c>
      <c r="H1180" s="28" t="n">
        <v>0</v>
      </c>
      <c r="I1180" s="25" t="n">
        <v>980</v>
      </c>
    </row>
    <row r="1181">
      <c r="A1181" s="25" t="inlineStr">
        <is>
          <t>ORD-10918</t>
        </is>
      </c>
      <c r="B1181" s="26" t="n">
        <v>45966</v>
      </c>
      <c r="C1181" s="25" t="inlineStr">
        <is>
          <t>West</t>
        </is>
      </c>
      <c r="D1181" s="25" t="inlineStr">
        <is>
          <t>Office Supplies</t>
        </is>
      </c>
      <c r="E1181" s="25" t="inlineStr">
        <is>
          <t>Printer Paper Box</t>
        </is>
      </c>
      <c r="F1181" s="25" t="n">
        <v>2</v>
      </c>
      <c r="G1181" s="25" t="n">
        <v>1600</v>
      </c>
      <c r="H1181" s="28" t="n">
        <v>0</v>
      </c>
      <c r="I1181" s="25" t="n">
        <v>1050</v>
      </c>
    </row>
    <row r="1182">
      <c r="A1182" s="25" t="inlineStr">
        <is>
          <t>ORD-10126</t>
        </is>
      </c>
      <c r="B1182" s="26" t="n">
        <v>45805</v>
      </c>
      <c r="C1182" s="25" t="inlineStr">
        <is>
          <t>North</t>
        </is>
      </c>
      <c r="D1182" s="25" t="inlineStr">
        <is>
          <t>Technology</t>
        </is>
      </c>
      <c r="E1182" s="25" t="inlineStr">
        <is>
          <t>Monitor 24"</t>
        </is>
      </c>
      <c r="F1182" s="25" t="n">
        <v>1</v>
      </c>
      <c r="G1182" s="25" t="n">
        <v>11500</v>
      </c>
      <c r="H1182" s="28" t="n">
        <v>0.2</v>
      </c>
      <c r="I1182" s="25" t="n">
        <v>8200</v>
      </c>
    </row>
    <row r="1183">
      <c r="A1183" s="25" t="inlineStr">
        <is>
          <t>ORD-10198</t>
        </is>
      </c>
      <c r="B1183" s="26" t="n">
        <v>45796</v>
      </c>
      <c r="C1183" s="25" t="inlineStr">
        <is>
          <t>East</t>
        </is>
      </c>
      <c r="D1183" s="25" t="inlineStr">
        <is>
          <t>Accessories</t>
        </is>
      </c>
      <c r="E1183" s="25" t="inlineStr">
        <is>
          <t>Headphones</t>
        </is>
      </c>
      <c r="F1183" s="25" t="n">
        <v>2</v>
      </c>
      <c r="G1183" s="25" t="n">
        <v>4500</v>
      </c>
      <c r="H1183" s="28" t="n">
        <v>0.05</v>
      </c>
      <c r="I1183" s="25" t="n">
        <v>2600</v>
      </c>
    </row>
    <row r="1184">
      <c r="A1184" s="25" t="inlineStr">
        <is>
          <t>ORD-10930</t>
        </is>
      </c>
      <c r="B1184" s="26" t="n">
        <v>45989</v>
      </c>
      <c r="C1184" s="25" t="inlineStr">
        <is>
          <t>South</t>
        </is>
      </c>
      <c r="D1184" s="25" t="inlineStr">
        <is>
          <t>Office Supplies</t>
        </is>
      </c>
      <c r="E1184" s="25" t="inlineStr">
        <is>
          <t>Desk Organizer</t>
        </is>
      </c>
      <c r="F1184" s="25" t="n">
        <v>3</v>
      </c>
      <c r="G1184" s="25" t="n">
        <v>850</v>
      </c>
      <c r="H1184" s="28" t="n">
        <v>0</v>
      </c>
      <c r="I1184" s="25" t="n">
        <v>420</v>
      </c>
    </row>
    <row r="1185">
      <c r="A1185" s="25" t="inlineStr">
        <is>
          <t>ORD-10069</t>
        </is>
      </c>
      <c r="B1185" s="26" t="n">
        <v>45872</v>
      </c>
      <c r="C1185" s="25" t="inlineStr">
        <is>
          <t>NORTH</t>
        </is>
      </c>
      <c r="D1185" s="25" t="inlineStr">
        <is>
          <t>Office Supplies</t>
        </is>
      </c>
      <c r="E1185" s="25" t="inlineStr">
        <is>
          <t>Desk Organizer</t>
        </is>
      </c>
      <c r="F1185" s="25" t="n">
        <v>2</v>
      </c>
      <c r="G1185" s="25" t="n">
        <v>850</v>
      </c>
      <c r="H1185" s="28" t="n">
        <v>0.15</v>
      </c>
      <c r="I1185" s="25" t="n">
        <v>420</v>
      </c>
    </row>
    <row r="1186">
      <c r="A1186" s="25" t="inlineStr">
        <is>
          <t>ORD-10953</t>
        </is>
      </c>
      <c r="B1186" s="26" t="n">
        <v>45955</v>
      </c>
      <c r="C1186" s="25" t="inlineStr">
        <is>
          <t>West</t>
        </is>
      </c>
      <c r="D1186" s="25" t="inlineStr">
        <is>
          <t>Technology</t>
        </is>
      </c>
      <c r="E1186" s="25" t="inlineStr">
        <is>
          <t>Wireless Mouse</t>
        </is>
      </c>
      <c r="F1186" s="25" t="n">
        <v>2</v>
      </c>
      <c r="G1186" s="25" t="n">
        <v>1200</v>
      </c>
      <c r="H1186" s="28" t="n">
        <v>0</v>
      </c>
      <c r="I1186" s="25" t="n">
        <v>650</v>
      </c>
    </row>
    <row r="1187">
      <c r="A1187" s="25" t="inlineStr">
        <is>
          <t>ORD-10076</t>
        </is>
      </c>
      <c r="B1187" s="25" t="inlineStr">
        <is>
          <t>17-Dec-2025</t>
        </is>
      </c>
      <c r="C1187" s="25" t="inlineStr">
        <is>
          <t>West</t>
        </is>
      </c>
      <c r="D1187" s="25" t="inlineStr">
        <is>
          <t>Technology</t>
        </is>
      </c>
      <c r="E1187" s="25" t="inlineStr">
        <is>
          <t>Wireless Mouse</t>
        </is>
      </c>
      <c r="F1187" s="25" t="n">
        <v>3</v>
      </c>
      <c r="G1187" s="25" t="n">
        <v>1200</v>
      </c>
      <c r="H1187" s="28" t="n">
        <v>0</v>
      </c>
      <c r="I1187" s="25" t="n">
        <v>650</v>
      </c>
    </row>
    <row r="1188">
      <c r="A1188" s="25" t="inlineStr">
        <is>
          <t>ORD-10904</t>
        </is>
      </c>
      <c r="B1188" s="26" t="n">
        <v>45953</v>
      </c>
      <c r="C1188" s="25" t="inlineStr">
        <is>
          <t>East</t>
        </is>
      </c>
      <c r="D1188" s="25" t="inlineStr">
        <is>
          <t>Technology</t>
        </is>
      </c>
      <c r="E1188" s="25" t="inlineStr">
        <is>
          <t>Wireless Mouse</t>
        </is>
      </c>
      <c r="F1188" s="25" t="n">
        <v>1</v>
      </c>
      <c r="G1188" s="25" t="n">
        <v>1200</v>
      </c>
      <c r="H1188" s="28" t="n">
        <v>0</v>
      </c>
      <c r="I1188" s="25" t="n">
        <v>650</v>
      </c>
    </row>
    <row r="1189">
      <c r="A1189" s="25" t="inlineStr">
        <is>
          <t>ORD-10043</t>
        </is>
      </c>
      <c r="B1189" s="26" t="n">
        <v>45797</v>
      </c>
      <c r="C1189" s="25" t="inlineStr">
        <is>
          <t>West</t>
        </is>
      </c>
      <c r="D1189" s="25" t="inlineStr">
        <is>
          <t>Technology</t>
        </is>
      </c>
      <c r="E1189" s="25" t="inlineStr">
        <is>
          <t>Mechanical Keyboard</t>
        </is>
      </c>
      <c r="F1189" s="25" t="n">
        <v>2</v>
      </c>
      <c r="G1189" s="25" t="n">
        <v>4200</v>
      </c>
      <c r="H1189" s="28" t="n">
        <v>0</v>
      </c>
      <c r="I1189" s="25" t="n">
        <v>2500</v>
      </c>
    </row>
    <row r="1190">
      <c r="A1190" s="25" t="inlineStr">
        <is>
          <t>ORD-10945</t>
        </is>
      </c>
      <c r="B1190" s="26" t="n">
        <v>45950</v>
      </c>
      <c r="C1190" s="25" t="inlineStr">
        <is>
          <t>South</t>
        </is>
      </c>
      <c r="D1190" s="25" t="inlineStr">
        <is>
          <t>Accessories</t>
        </is>
      </c>
      <c r="E1190" s="25" t="inlineStr">
        <is>
          <t>Headphones</t>
        </is>
      </c>
      <c r="F1190" s="25" t="n">
        <v>2</v>
      </c>
      <c r="G1190" s="25" t="n">
        <v>4500</v>
      </c>
      <c r="H1190" s="28" t="n">
        <v>0.05</v>
      </c>
      <c r="I1190" s="25" t="n">
        <v>2600</v>
      </c>
    </row>
    <row r="1191">
      <c r="A1191" s="25" t="inlineStr">
        <is>
          <t>ORD-10537</t>
        </is>
      </c>
      <c r="B1191" s="26" t="n">
        <v>45675</v>
      </c>
      <c r="C1191" s="25" t="inlineStr">
        <is>
          <t>East</t>
        </is>
      </c>
      <c r="D1191" s="25" t="inlineStr">
        <is>
          <t>Furniture</t>
        </is>
      </c>
      <c r="E1191" s="25" t="inlineStr">
        <is>
          <t>Office Chair</t>
        </is>
      </c>
      <c r="F1191" s="25" t="n">
        <v>1</v>
      </c>
      <c r="G1191" s="25" t="n">
        <v>8500</v>
      </c>
      <c r="H1191" s="28" t="n">
        <v>0.15</v>
      </c>
      <c r="I1191" s="25" t="n">
        <v>5600</v>
      </c>
    </row>
    <row r="1192">
      <c r="A1192" s="25" t="inlineStr">
        <is>
          <t>ORD-11148</t>
        </is>
      </c>
      <c r="B1192" s="26" t="n">
        <v>45666</v>
      </c>
      <c r="C1192" s="25" t="inlineStr">
        <is>
          <t>East</t>
        </is>
      </c>
      <c r="D1192" s="25" t="inlineStr">
        <is>
          <t>Furniture</t>
        </is>
      </c>
      <c r="E1192" s="25" t="inlineStr">
        <is>
          <t>Office Chair</t>
        </is>
      </c>
      <c r="F1192" s="25" t="n">
        <v>1</v>
      </c>
      <c r="G1192" s="25" t="n"/>
      <c r="H1192" s="28" t="n">
        <v>0.15</v>
      </c>
      <c r="I1192" s="25" t="n">
        <v>5600</v>
      </c>
    </row>
    <row r="1193">
      <c r="A1193" s="25" t="inlineStr">
        <is>
          <t>ORD-10919</t>
        </is>
      </c>
      <c r="B1193" s="26" t="n">
        <v>45735</v>
      </c>
      <c r="C1193" s="25" t="inlineStr">
        <is>
          <t>West</t>
        </is>
      </c>
      <c r="D1193" s="25" t="inlineStr">
        <is>
          <t>Technology</t>
        </is>
      </c>
      <c r="E1193" s="25" t="inlineStr">
        <is>
          <t>Mechanical Keyboard</t>
        </is>
      </c>
      <c r="F1193" s="25" t="n">
        <v>1</v>
      </c>
      <c r="G1193" s="25" t="n">
        <v>4200</v>
      </c>
      <c r="H1193" s="28" t="n">
        <v>0.05</v>
      </c>
      <c r="I1193" s="25" t="n">
        <v>2500</v>
      </c>
    </row>
    <row r="1194">
      <c r="A1194" s="25" t="inlineStr">
        <is>
          <t>ORD-11107</t>
        </is>
      </c>
      <c r="B1194" s="26" t="n">
        <v>45674</v>
      </c>
      <c r="C1194" s="25" t="inlineStr">
        <is>
          <t>West</t>
        </is>
      </c>
      <c r="D1194" s="25" t="inlineStr">
        <is>
          <t>Accessories</t>
        </is>
      </c>
      <c r="E1194" s="25" t="inlineStr">
        <is>
          <t>Headphones</t>
        </is>
      </c>
      <c r="F1194" s="25" t="n">
        <v>1</v>
      </c>
      <c r="G1194" s="25" t="n">
        <v>4500</v>
      </c>
      <c r="H1194" s="28" t="n">
        <v>0.05</v>
      </c>
      <c r="I1194" s="25" t="n">
        <v>2600</v>
      </c>
    </row>
    <row r="1195">
      <c r="A1195" s="25" t="inlineStr">
        <is>
          <t>ORD-10130</t>
        </is>
      </c>
      <c r="B1195" s="26" t="n">
        <v>45885</v>
      </c>
      <c r="C1195" s="25" t="inlineStr">
        <is>
          <t>West</t>
        </is>
      </c>
      <c r="D1195" s="25" t="inlineStr">
        <is>
          <t>Furniture</t>
        </is>
      </c>
      <c r="E1195" s="25" t="inlineStr">
        <is>
          <t>Bookshelf</t>
        </is>
      </c>
      <c r="F1195" s="25" t="n">
        <v>2</v>
      </c>
      <c r="G1195" s="25" t="n">
        <v>6200</v>
      </c>
      <c r="H1195" s="28" t="n">
        <v>0.05</v>
      </c>
      <c r="I1195" s="25" t="n">
        <v>4100</v>
      </c>
    </row>
    <row r="1196">
      <c r="A1196" s="25" t="inlineStr">
        <is>
          <t>ORD-10908</t>
        </is>
      </c>
      <c r="B1196" s="26" t="n">
        <v>45696</v>
      </c>
      <c r="C1196" s="25" t="inlineStr">
        <is>
          <t>north</t>
        </is>
      </c>
      <c r="D1196" s="25" t="inlineStr">
        <is>
          <t>Accessories</t>
        </is>
      </c>
      <c r="E1196" s="25" t="inlineStr">
        <is>
          <t>Headphones</t>
        </is>
      </c>
      <c r="F1196" s="25" t="n">
        <v>2</v>
      </c>
      <c r="G1196" s="25" t="n">
        <v>4500</v>
      </c>
      <c r="H1196" s="28" t="n">
        <v>0.05</v>
      </c>
      <c r="I1196" s="25" t="n">
        <v>2600</v>
      </c>
    </row>
    <row r="1197">
      <c r="A1197" s="25" t="inlineStr">
        <is>
          <t>ORD-10779</t>
        </is>
      </c>
      <c r="B1197" s="26" t="n">
        <v>45928</v>
      </c>
      <c r="C1197" s="25" t="inlineStr">
        <is>
          <t>South</t>
        </is>
      </c>
      <c r="D1197" s="25" t="inlineStr">
        <is>
          <t>Office Supplies</t>
        </is>
      </c>
      <c r="E1197" s="25" t="inlineStr">
        <is>
          <t>Notebook Set</t>
        </is>
      </c>
      <c r="F1197" s="25" t="n">
        <v>7</v>
      </c>
      <c r="G1197" s="25" t="n">
        <v>450</v>
      </c>
      <c r="H1197" s="28" t="n">
        <v>0.1</v>
      </c>
      <c r="I1197" s="25" t="n">
        <v>190</v>
      </c>
    </row>
    <row r="1198">
      <c r="A1198" s="25" t="inlineStr">
        <is>
          <t>ORD-11088</t>
        </is>
      </c>
      <c r="B1198" s="26" t="n">
        <v>45759</v>
      </c>
      <c r="C1198" s="25" t="inlineStr">
        <is>
          <t>West</t>
        </is>
      </c>
      <c r="D1198" s="25" t="inlineStr">
        <is>
          <t>Accessories</t>
        </is>
      </c>
      <c r="E1198" s="25" t="inlineStr">
        <is>
          <t>USB-C Hub</t>
        </is>
      </c>
      <c r="F1198" s="25" t="n">
        <v>4</v>
      </c>
      <c r="G1198" s="25" t="n">
        <v>1800</v>
      </c>
      <c r="H1198" s="28" t="n">
        <v>0</v>
      </c>
      <c r="I1198" s="25" t="n">
        <v>980</v>
      </c>
    </row>
    <row r="1199">
      <c r="A1199" s="25" t="inlineStr">
        <is>
          <t>ORD-10235</t>
        </is>
      </c>
      <c r="B1199" s="26" t="n">
        <v>45756</v>
      </c>
      <c r="C1199" s="25" t="inlineStr">
        <is>
          <t>West</t>
        </is>
      </c>
      <c r="D1199" s="25" t="inlineStr">
        <is>
          <t>Accessories</t>
        </is>
      </c>
      <c r="E1199" s="25" t="inlineStr">
        <is>
          <t>Headphones</t>
        </is>
      </c>
      <c r="F1199" s="25" t="n">
        <v>2</v>
      </c>
      <c r="G1199" s="25" t="n">
        <v>4500</v>
      </c>
      <c r="H1199" s="28" t="n">
        <v>0.1</v>
      </c>
      <c r="I1199" s="25" t="n">
        <v>2600</v>
      </c>
    </row>
    <row r="1200">
      <c r="A1200" s="25" t="inlineStr">
        <is>
          <t>ORD-10327</t>
        </is>
      </c>
      <c r="B1200" s="26" t="n">
        <v>45928</v>
      </c>
      <c r="C1200" s="25" t="inlineStr">
        <is>
          <t>West</t>
        </is>
      </c>
      <c r="D1200" s="25" t="inlineStr">
        <is>
          <t>Office Supplies</t>
        </is>
      </c>
      <c r="E1200" s="25" t="inlineStr">
        <is>
          <t>Desk Organizer</t>
        </is>
      </c>
      <c r="F1200" s="25" t="n">
        <v>4</v>
      </c>
      <c r="G1200" s="25" t="n">
        <v>850</v>
      </c>
      <c r="H1200" s="28" t="n">
        <v>0</v>
      </c>
      <c r="I1200" s="25" t="n">
        <v>420</v>
      </c>
    </row>
    <row r="1201">
      <c r="A1201" s="25" t="inlineStr">
        <is>
          <t>ORD-10966</t>
        </is>
      </c>
      <c r="B1201" s="26" t="n">
        <v>45921</v>
      </c>
      <c r="C1201" s="25" t="inlineStr">
        <is>
          <t>South</t>
        </is>
      </c>
      <c r="D1201" s="25" t="inlineStr">
        <is>
          <t>Office Supplies</t>
        </is>
      </c>
      <c r="E1201" s="25" t="inlineStr">
        <is>
          <t>Printer Paper Box</t>
        </is>
      </c>
      <c r="F1201" s="25" t="n">
        <v>5</v>
      </c>
      <c r="G1201" s="25" t="n">
        <v>1600</v>
      </c>
      <c r="H1201" s="28" t="n">
        <v>0</v>
      </c>
      <c r="I1201" s="25" t="n">
        <v>1050</v>
      </c>
    </row>
    <row r="1202">
      <c r="A1202" s="25" t="inlineStr">
        <is>
          <t>ORD-11144</t>
        </is>
      </c>
      <c r="B1202" s="26" t="n">
        <v>46000</v>
      </c>
      <c r="C1202" s="25" t="inlineStr">
        <is>
          <t>North</t>
        </is>
      </c>
      <c r="D1202" s="25" t="inlineStr">
        <is>
          <t>Technology</t>
        </is>
      </c>
      <c r="E1202" s="25" t="inlineStr">
        <is>
          <t>Mechanical Keyboard</t>
        </is>
      </c>
      <c r="F1202" s="25" t="n">
        <v>2</v>
      </c>
      <c r="G1202" s="25" t="n">
        <v>4200</v>
      </c>
      <c r="H1202" s="28" t="n">
        <v>0</v>
      </c>
      <c r="I1202" s="25" t="n">
        <v>2500</v>
      </c>
    </row>
    <row r="1203">
      <c r="A1203" s="25" t="inlineStr">
        <is>
          <t>ORD-10058</t>
        </is>
      </c>
      <c r="B1203" s="26" t="n">
        <v>45903</v>
      </c>
      <c r="C1203" s="25" t="inlineStr">
        <is>
          <t>North</t>
        </is>
      </c>
      <c r="D1203" s="25" t="inlineStr">
        <is>
          <t>Accessories</t>
        </is>
      </c>
      <c r="E1203" s="25" t="inlineStr">
        <is>
          <t>Webcam</t>
        </is>
      </c>
      <c r="F1203" s="25" t="n">
        <v>2</v>
      </c>
      <c r="G1203" s="25" t="n">
        <v>3200</v>
      </c>
      <c r="H1203" s="28" t="n">
        <v>0</v>
      </c>
      <c r="I1203" s="25" t="n">
        <v>1900</v>
      </c>
    </row>
    <row r="1204">
      <c r="A1204" s="25" t="inlineStr">
        <is>
          <t>ORD-10556</t>
        </is>
      </c>
      <c r="B1204" s="25" t="inlineStr">
        <is>
          <t>15-Nov-2025</t>
        </is>
      </c>
      <c r="C1204" s="25" t="inlineStr">
        <is>
          <t>south</t>
        </is>
      </c>
      <c r="D1204" s="25" t="inlineStr">
        <is>
          <t>Technology</t>
        </is>
      </c>
      <c r="E1204" s="25" t="inlineStr">
        <is>
          <t>Wireless Mouse</t>
        </is>
      </c>
      <c r="F1204" s="25" t="n">
        <v>3</v>
      </c>
      <c r="G1204" s="25" t="n">
        <v>1200</v>
      </c>
      <c r="H1204" s="28" t="n">
        <v>0.1</v>
      </c>
      <c r="I1204" s="25" t="n">
        <v>650</v>
      </c>
    </row>
    <row r="1205">
      <c r="A1205" s="25" t="inlineStr">
        <is>
          <t>ORD-10148</t>
        </is>
      </c>
      <c r="B1205" s="26" t="n">
        <v>45727</v>
      </c>
      <c r="C1205" s="25" t="inlineStr">
        <is>
          <t>South</t>
        </is>
      </c>
      <c r="D1205" s="25" t="inlineStr">
        <is>
          <t>Office Supplies</t>
        </is>
      </c>
      <c r="E1205" s="25" t="inlineStr">
        <is>
          <t>Notebook Set</t>
        </is>
      </c>
      <c r="F1205" s="25" t="n">
        <v>6</v>
      </c>
      <c r="G1205" s="25" t="n">
        <v>450</v>
      </c>
      <c r="H1205" s="28" t="n">
        <v>0.15</v>
      </c>
      <c r="I1205" s="25" t="n">
        <v>190</v>
      </c>
    </row>
    <row r="1206">
      <c r="A1206" s="25" t="inlineStr">
        <is>
          <t>ORD-10320</t>
        </is>
      </c>
      <c r="B1206" s="26" t="n">
        <v>45785</v>
      </c>
      <c r="C1206" s="25" t="inlineStr">
        <is>
          <t>West</t>
        </is>
      </c>
      <c r="D1206" s="25" t="inlineStr">
        <is>
          <t>Technology</t>
        </is>
      </c>
      <c r="E1206" s="25" t="inlineStr">
        <is>
          <t>Monitor 24"</t>
        </is>
      </c>
      <c r="F1206" s="25" t="n">
        <v>2</v>
      </c>
      <c r="G1206" s="25" t="n">
        <v>11500</v>
      </c>
      <c r="H1206" s="28" t="n">
        <v>0.1</v>
      </c>
      <c r="I1206" s="25" t="n">
        <v>8200</v>
      </c>
    </row>
    <row r="1207">
      <c r="A1207" s="25" t="inlineStr">
        <is>
          <t>ORD-10128</t>
        </is>
      </c>
      <c r="B1207" s="26" t="n">
        <v>45731</v>
      </c>
      <c r="C1207" s="25" t="inlineStr">
        <is>
          <t>West</t>
        </is>
      </c>
      <c r="D1207" s="25" t="inlineStr">
        <is>
          <t>Office Supplies</t>
        </is>
      </c>
      <c r="E1207" s="25" t="inlineStr">
        <is>
          <t>Printer Paper Box</t>
        </is>
      </c>
      <c r="F1207" s="25" t="n">
        <v>5</v>
      </c>
      <c r="G1207" s="25" t="n">
        <v>1600</v>
      </c>
      <c r="H1207" s="28" t="n">
        <v>0.15</v>
      </c>
      <c r="I1207" s="25" t="n">
        <v>1050</v>
      </c>
    </row>
    <row r="1208">
      <c r="A1208" s="25" t="inlineStr">
        <is>
          <t>ORD-11087</t>
        </is>
      </c>
      <c r="B1208" s="26" t="n">
        <v>45723</v>
      </c>
      <c r="C1208" s="25" t="inlineStr">
        <is>
          <t>North</t>
        </is>
      </c>
      <c r="D1208" s="25" t="inlineStr">
        <is>
          <t>Accessories</t>
        </is>
      </c>
      <c r="E1208" s="25" t="inlineStr">
        <is>
          <t>USB-C Hub</t>
        </is>
      </c>
      <c r="F1208" s="25" t="n">
        <v>4</v>
      </c>
      <c r="G1208" s="25" t="n">
        <v>1800</v>
      </c>
      <c r="H1208" s="28" t="n">
        <v>0</v>
      </c>
      <c r="I1208" s="25" t="n">
        <v>980</v>
      </c>
    </row>
    <row r="1209">
      <c r="A1209" s="25" t="inlineStr">
        <is>
          <t>ORD-10645</t>
        </is>
      </c>
      <c r="B1209" s="25" t="inlineStr">
        <is>
          <t>10-Jan-2025</t>
        </is>
      </c>
      <c r="C1209" s="25" t="inlineStr">
        <is>
          <t>East</t>
        </is>
      </c>
      <c r="D1209" s="25" t="inlineStr">
        <is>
          <t>Furniture</t>
        </is>
      </c>
      <c r="E1209" s="25" t="inlineStr">
        <is>
          <t>Standing Desk</t>
        </is>
      </c>
      <c r="F1209" s="25" t="n">
        <v>1</v>
      </c>
      <c r="G1209" s="25" t="n">
        <v>19500</v>
      </c>
      <c r="H1209" s="28" t="n">
        <v>0</v>
      </c>
      <c r="I1209" s="25" t="n">
        <v>13800</v>
      </c>
    </row>
    <row r="1210">
      <c r="A1210" s="25" t="inlineStr">
        <is>
          <t>ORD-10940</t>
        </is>
      </c>
      <c r="B1210" s="26" t="n">
        <v>45790</v>
      </c>
      <c r="C1210" s="25" t="inlineStr">
        <is>
          <t>West</t>
        </is>
      </c>
      <c r="D1210" s="25" t="inlineStr">
        <is>
          <t>Office Supplies</t>
        </is>
      </c>
      <c r="E1210" s="25" t="inlineStr">
        <is>
          <t>Printer Paper Box</t>
        </is>
      </c>
      <c r="F1210" s="25" t="n">
        <v>1</v>
      </c>
      <c r="G1210" s="25" t="n">
        <v>1600</v>
      </c>
      <c r="H1210" s="28" t="n">
        <v>0</v>
      </c>
      <c r="I1210" s="25" t="n">
        <v>1050</v>
      </c>
    </row>
    <row r="1211">
      <c r="A1211" s="25" t="inlineStr">
        <is>
          <t>ORD-10343</t>
        </is>
      </c>
      <c r="B1211" s="26" t="n">
        <v>46008</v>
      </c>
      <c r="C1211" s="25" t="inlineStr">
        <is>
          <t>South</t>
        </is>
      </c>
      <c r="D1211" s="25" t="inlineStr">
        <is>
          <t>Office Supplies</t>
        </is>
      </c>
      <c r="E1211" s="25" t="inlineStr">
        <is>
          <t>Printer Paper Box</t>
        </is>
      </c>
      <c r="F1211" s="25" t="n">
        <v>1</v>
      </c>
      <c r="G1211" s="25" t="n">
        <v>1600</v>
      </c>
      <c r="H1211" s="28" t="n">
        <v>0.1</v>
      </c>
      <c r="I1211" s="25" t="n">
        <v>1050</v>
      </c>
    </row>
    <row r="1212">
      <c r="A1212" s="25" t="inlineStr">
        <is>
          <t>ORD-10528</t>
        </is>
      </c>
      <c r="B1212" s="25" t="inlineStr">
        <is>
          <t>25-Dec-2025</t>
        </is>
      </c>
      <c r="C1212" s="25" t="inlineStr">
        <is>
          <t>North</t>
        </is>
      </c>
      <c r="D1212" s="25" t="inlineStr">
        <is>
          <t>Technology</t>
        </is>
      </c>
      <c r="E1212" s="25" t="inlineStr">
        <is>
          <t>Monitor 24"</t>
        </is>
      </c>
      <c r="F1212" s="25" t="n">
        <v>1</v>
      </c>
      <c r="G1212" s="25" t="n">
        <v>11500</v>
      </c>
      <c r="H1212" s="28" t="n">
        <v>0.05</v>
      </c>
      <c r="I1212" s="25" t="n">
        <v>8200</v>
      </c>
    </row>
    <row r="1213">
      <c r="A1213" s="25" t="inlineStr">
        <is>
          <t>ORD-10902</t>
        </is>
      </c>
      <c r="B1213" s="26" t="n">
        <v>45817</v>
      </c>
      <c r="C1213" s="25" t="inlineStr">
        <is>
          <t>South</t>
        </is>
      </c>
      <c r="D1213" s="25" t="inlineStr">
        <is>
          <t>Technology</t>
        </is>
      </c>
      <c r="E1213" s="25" t="inlineStr">
        <is>
          <t>Mechanical Keyboard</t>
        </is>
      </c>
      <c r="F1213" s="25" t="n">
        <v>2</v>
      </c>
      <c r="G1213" s="25" t="n">
        <v>4200</v>
      </c>
      <c r="H1213" s="28" t="n">
        <v>0.2</v>
      </c>
      <c r="I1213" s="25" t="n">
        <v>2500</v>
      </c>
    </row>
    <row r="1214">
      <c r="A1214" s="25" t="inlineStr">
        <is>
          <t>ORD-11056</t>
        </is>
      </c>
      <c r="B1214" s="26" t="n">
        <v>45734</v>
      </c>
      <c r="C1214" s="25" t="inlineStr">
        <is>
          <t xml:space="preserve"> North </t>
        </is>
      </c>
      <c r="D1214" s="25" t="inlineStr">
        <is>
          <t>Technology</t>
        </is>
      </c>
      <c r="E1214" s="25" t="inlineStr">
        <is>
          <t>Wireless Mouse</t>
        </is>
      </c>
      <c r="F1214" s="25" t="n">
        <v>3</v>
      </c>
      <c r="G1214" s="25" t="n">
        <v>1200</v>
      </c>
      <c r="H1214" s="28" t="n">
        <v>0</v>
      </c>
      <c r="I1214" s="25" t="n">
        <v>650</v>
      </c>
    </row>
    <row r="1215">
      <c r="A1215" s="25" t="inlineStr">
        <is>
          <t>ORD-10988</t>
        </is>
      </c>
      <c r="B1215" s="26" t="n">
        <v>45796</v>
      </c>
      <c r="C1215" s="25" t="inlineStr">
        <is>
          <t>North</t>
        </is>
      </c>
      <c r="D1215" s="25" t="inlineStr">
        <is>
          <t>Accessories</t>
        </is>
      </c>
      <c r="E1215" s="25" t="inlineStr">
        <is>
          <t>Headphones</t>
        </is>
      </c>
      <c r="F1215" s="25" t="n">
        <v>3</v>
      </c>
      <c r="G1215" s="25" t="n">
        <v>4500</v>
      </c>
      <c r="H1215" s="28" t="n">
        <v>0</v>
      </c>
      <c r="I1215" s="25" t="n">
        <v>2600</v>
      </c>
    </row>
    <row r="1216">
      <c r="A1216" s="25" t="inlineStr">
        <is>
          <t>ORD-10205</t>
        </is>
      </c>
      <c r="B1216" s="25" t="inlineStr">
        <is>
          <t>26-Dec-2025</t>
        </is>
      </c>
      <c r="C1216" s="25" t="inlineStr">
        <is>
          <t>South</t>
        </is>
      </c>
      <c r="D1216" s="25" t="inlineStr">
        <is>
          <t>Furniture</t>
        </is>
      </c>
      <c r="E1216" s="25" t="inlineStr">
        <is>
          <t>Bookshelf</t>
        </is>
      </c>
      <c r="F1216" s="25" t="n">
        <v>3</v>
      </c>
      <c r="G1216" s="25" t="n">
        <v>6200</v>
      </c>
      <c r="H1216" s="28" t="n">
        <v>0</v>
      </c>
      <c r="I1216" s="25" t="n">
        <v>4100</v>
      </c>
    </row>
    <row r="1217">
      <c r="A1217" s="25" t="inlineStr">
        <is>
          <t>ORD-10131</t>
        </is>
      </c>
      <c r="B1217" s="26" t="n">
        <v>45927</v>
      </c>
      <c r="C1217" s="25" t="inlineStr">
        <is>
          <t>West</t>
        </is>
      </c>
      <c r="D1217" s="25" t="inlineStr">
        <is>
          <t>Accessories</t>
        </is>
      </c>
      <c r="E1217" s="25" t="inlineStr">
        <is>
          <t>Headphones</t>
        </is>
      </c>
      <c r="F1217" s="25" t="n">
        <v>3</v>
      </c>
      <c r="G1217" s="25" t="n">
        <v>4500</v>
      </c>
      <c r="H1217" s="28" t="n">
        <v>0.05</v>
      </c>
      <c r="I1217" s="25" t="n">
        <v>2600</v>
      </c>
    </row>
    <row r="1218">
      <c r="A1218" s="25" t="inlineStr">
        <is>
          <t>ORD-10325</t>
        </is>
      </c>
      <c r="B1218" s="26" t="n">
        <v>45985</v>
      </c>
      <c r="C1218" s="25" t="inlineStr">
        <is>
          <t>East</t>
        </is>
      </c>
      <c r="D1218" s="25" t="inlineStr">
        <is>
          <t>Office Supplies</t>
        </is>
      </c>
      <c r="E1218" s="25" t="inlineStr">
        <is>
          <t>Notebook Set</t>
        </is>
      </c>
      <c r="F1218" s="25" t="n">
        <v>6</v>
      </c>
      <c r="G1218" s="25" t="n">
        <v>450</v>
      </c>
      <c r="H1218" s="28" t="n">
        <v>0</v>
      </c>
      <c r="I1218" s="25" t="n">
        <v>190</v>
      </c>
    </row>
    <row r="1219">
      <c r="A1219" s="25" t="inlineStr">
        <is>
          <t>ORD-10623</t>
        </is>
      </c>
      <c r="B1219" s="26" t="n">
        <v>45979</v>
      </c>
      <c r="C1219" s="25" t="inlineStr">
        <is>
          <t>South</t>
        </is>
      </c>
      <c r="D1219" s="25" t="inlineStr">
        <is>
          <t>Office Supplies</t>
        </is>
      </c>
      <c r="E1219" s="25" t="inlineStr">
        <is>
          <t>Printer Paper Box</t>
        </is>
      </c>
      <c r="F1219" s="25" t="n">
        <v>6</v>
      </c>
      <c r="G1219" s="25" t="n">
        <v>1600</v>
      </c>
      <c r="H1219" s="28" t="n">
        <v>0</v>
      </c>
      <c r="I1219" s="25" t="n">
        <v>1050</v>
      </c>
    </row>
    <row r="1220">
      <c r="A1220" s="25" t="inlineStr">
        <is>
          <t>ORD-11186</t>
        </is>
      </c>
      <c r="B1220" s="26" t="n">
        <v>45918</v>
      </c>
      <c r="C1220" s="25" t="inlineStr">
        <is>
          <t>West</t>
        </is>
      </c>
      <c r="D1220" s="25" t="inlineStr">
        <is>
          <t>Accessories</t>
        </is>
      </c>
      <c r="E1220" s="25" t="inlineStr">
        <is>
          <t>USB-C Hub</t>
        </is>
      </c>
      <c r="F1220" s="25" t="n">
        <v>4</v>
      </c>
      <c r="G1220" s="25" t="n">
        <v>1800</v>
      </c>
      <c r="H1220" s="28" t="n">
        <v>0.05</v>
      </c>
      <c r="I1220" s="25" t="n">
        <v>980</v>
      </c>
    </row>
    <row r="1221">
      <c r="A1221" s="25" t="inlineStr">
        <is>
          <t>ORD-10496</t>
        </is>
      </c>
      <c r="B1221" s="26" t="n">
        <v>45989</v>
      </c>
      <c r="C1221" s="25" t="inlineStr">
        <is>
          <t>North</t>
        </is>
      </c>
      <c r="D1221" s="25" t="inlineStr">
        <is>
          <t>Office Supplies</t>
        </is>
      </c>
      <c r="E1221" s="25" t="inlineStr">
        <is>
          <t>Desk Organizer</t>
        </is>
      </c>
      <c r="F1221" s="25" t="n">
        <v>1</v>
      </c>
      <c r="G1221" s="25" t="n">
        <v>850</v>
      </c>
      <c r="H1221" s="28" t="n">
        <v>0.15</v>
      </c>
      <c r="I1221" s="25" t="n">
        <v>420</v>
      </c>
    </row>
    <row r="1222">
      <c r="A1222" s="25" t="inlineStr">
        <is>
          <t>ORD-10027</t>
        </is>
      </c>
      <c r="B1222" s="26" t="n">
        <v>45996</v>
      </c>
      <c r="C1222" s="25" t="inlineStr">
        <is>
          <t>North</t>
        </is>
      </c>
      <c r="D1222" s="25" t="inlineStr">
        <is>
          <t>Accessories</t>
        </is>
      </c>
      <c r="E1222" s="25" t="inlineStr">
        <is>
          <t>Webcam</t>
        </is>
      </c>
      <c r="F1222" s="25" t="n">
        <v>3</v>
      </c>
      <c r="G1222" s="25" t="n">
        <v>3200</v>
      </c>
      <c r="H1222" s="28" t="n">
        <v>0.2</v>
      </c>
      <c r="I1222" s="25" t="n">
        <v>1900</v>
      </c>
    </row>
    <row r="1223">
      <c r="A1223" s="25" t="inlineStr">
        <is>
          <t>ORD-11100</t>
        </is>
      </c>
      <c r="B1223" s="26" t="n">
        <v>45871</v>
      </c>
      <c r="C1223" s="25" t="inlineStr">
        <is>
          <t>North</t>
        </is>
      </c>
      <c r="D1223" s="25" t="inlineStr">
        <is>
          <t>Technology</t>
        </is>
      </c>
      <c r="E1223" s="25" t="inlineStr">
        <is>
          <t>Monitor 24"</t>
        </is>
      </c>
      <c r="F1223" s="25" t="n">
        <v>1</v>
      </c>
      <c r="G1223" s="25" t="n">
        <v>11500</v>
      </c>
      <c r="H1223" s="28" t="n">
        <v>0</v>
      </c>
      <c r="I1223" s="25" t="n">
        <v>8200</v>
      </c>
    </row>
    <row r="1224">
      <c r="A1224" s="25" t="inlineStr">
        <is>
          <t>ORD-10514</t>
        </is>
      </c>
      <c r="B1224" s="26" t="n">
        <v>45967</v>
      </c>
      <c r="C1224" s="25" t="inlineStr">
        <is>
          <t>West</t>
        </is>
      </c>
      <c r="D1224" s="25" t="inlineStr">
        <is>
          <t>Accessories</t>
        </is>
      </c>
      <c r="E1224" s="25" t="inlineStr">
        <is>
          <t>USB-C Hub</t>
        </is>
      </c>
      <c r="F1224" s="25" t="n">
        <v>4</v>
      </c>
      <c r="G1224" s="25" t="n">
        <v>1800</v>
      </c>
      <c r="H1224" s="28" t="n">
        <v>0</v>
      </c>
      <c r="I1224" s="25" t="n">
        <v>980</v>
      </c>
    </row>
    <row r="1225">
      <c r="A1225" s="25" t="inlineStr">
        <is>
          <t>ORD-10319</t>
        </is>
      </c>
      <c r="B1225" s="26" t="n">
        <v>45890</v>
      </c>
      <c r="C1225" s="25" t="inlineStr">
        <is>
          <t>South</t>
        </is>
      </c>
      <c r="D1225" s="25" t="inlineStr">
        <is>
          <t>Technology</t>
        </is>
      </c>
      <c r="E1225" s="25" t="inlineStr">
        <is>
          <t>Wireless Mouse</t>
        </is>
      </c>
      <c r="F1225" s="25" t="n">
        <v>5</v>
      </c>
      <c r="G1225" s="25" t="n">
        <v>1200</v>
      </c>
      <c r="H1225" s="28" t="n">
        <v>0</v>
      </c>
      <c r="I1225" s="25" t="n">
        <v>650</v>
      </c>
    </row>
    <row r="1226">
      <c r="A1226" s="25" t="inlineStr">
        <is>
          <t>ORD-10849</t>
        </is>
      </c>
      <c r="B1226" s="26" t="n">
        <v>45683</v>
      </c>
      <c r="C1226" s="25" t="inlineStr">
        <is>
          <t>South</t>
        </is>
      </c>
      <c r="D1226" s="25" t="inlineStr">
        <is>
          <t>Furniture</t>
        </is>
      </c>
      <c r="E1226" s="25" t="inlineStr">
        <is>
          <t>Bookshelf</t>
        </is>
      </c>
      <c r="F1226" s="25" t="n">
        <v>3</v>
      </c>
      <c r="G1226" s="25" t="n">
        <v>6200</v>
      </c>
      <c r="H1226" s="28" t="n">
        <v>0.1</v>
      </c>
      <c r="I1226" s="25" t="n">
        <v>4100</v>
      </c>
    </row>
    <row r="1227">
      <c r="A1227" s="25" t="inlineStr">
        <is>
          <t>ORD-10336</t>
        </is>
      </c>
      <c r="B1227" s="25" t="inlineStr">
        <is>
          <t>24-Mar-2025</t>
        </is>
      </c>
      <c r="C1227" s="25" t="inlineStr">
        <is>
          <t>North</t>
        </is>
      </c>
      <c r="D1227" s="25" t="inlineStr">
        <is>
          <t>Accessories</t>
        </is>
      </c>
      <c r="E1227" s="25" t="inlineStr">
        <is>
          <t>Webcam</t>
        </is>
      </c>
      <c r="F1227" s="25" t="n">
        <v>3</v>
      </c>
      <c r="G1227" s="25" t="n">
        <v>3200</v>
      </c>
      <c r="H1227" s="28" t="n">
        <v>0</v>
      </c>
      <c r="I1227" s="25" t="n">
        <v>1900</v>
      </c>
    </row>
    <row r="1228">
      <c r="A1228" s="25" t="inlineStr">
        <is>
          <t>ORD-10619</t>
        </is>
      </c>
      <c r="B1228" s="26" t="n">
        <v>45983</v>
      </c>
      <c r="C1228" s="25" t="inlineStr">
        <is>
          <t xml:space="preserve">West </t>
        </is>
      </c>
      <c r="D1228" s="25" t="inlineStr">
        <is>
          <t>Office Supplies</t>
        </is>
      </c>
      <c r="E1228" s="25" t="inlineStr">
        <is>
          <t>Notebook Set</t>
        </is>
      </c>
      <c r="F1228" s="25" t="n">
        <v>6</v>
      </c>
      <c r="G1228" s="25" t="n">
        <v>450</v>
      </c>
      <c r="H1228" s="28" t="n">
        <v>0.05</v>
      </c>
      <c r="I1228" s="25" t="n">
        <v>190</v>
      </c>
    </row>
    <row r="1229">
      <c r="A1229" s="25" t="inlineStr">
        <is>
          <t>ORD-10228</t>
        </is>
      </c>
      <c r="B1229" s="26" t="n">
        <v>45698</v>
      </c>
      <c r="C1229" s="25" t="inlineStr">
        <is>
          <t>North</t>
        </is>
      </c>
      <c r="D1229" s="25" t="inlineStr">
        <is>
          <t>Office Supplies</t>
        </is>
      </c>
      <c r="E1229" s="25" t="inlineStr">
        <is>
          <t>Notebook Set</t>
        </is>
      </c>
      <c r="F1229" s="25" t="n">
        <v>1</v>
      </c>
      <c r="G1229" s="25" t="n">
        <v>450</v>
      </c>
      <c r="H1229" s="28" t="n">
        <v>0.15</v>
      </c>
      <c r="I1229" s="25" t="n">
        <v>190</v>
      </c>
    </row>
    <row r="1230">
      <c r="A1230" s="25" t="inlineStr">
        <is>
          <t>ORD-10714</t>
        </is>
      </c>
      <c r="B1230" s="26" t="n">
        <v>45671</v>
      </c>
      <c r="C1230" s="25" t="inlineStr">
        <is>
          <t>East</t>
        </is>
      </c>
      <c r="D1230" s="25" t="inlineStr">
        <is>
          <t>Accessories</t>
        </is>
      </c>
      <c r="E1230" s="25" t="inlineStr">
        <is>
          <t>Headphones</t>
        </is>
      </c>
      <c r="F1230" s="25" t="n">
        <v>1</v>
      </c>
      <c r="G1230" s="25" t="n">
        <v>4500</v>
      </c>
      <c r="H1230" s="28" t="n">
        <v>0.2</v>
      </c>
      <c r="I1230" s="25" t="n">
        <v>2600</v>
      </c>
    </row>
    <row r="1231">
      <c r="A1231" s="25" t="inlineStr">
        <is>
          <t>ORD-10907</t>
        </is>
      </c>
      <c r="B1231" s="26" t="n">
        <v>45774</v>
      </c>
      <c r="C1231" s="25" t="inlineStr">
        <is>
          <t>East</t>
        </is>
      </c>
      <c r="D1231" s="25" t="inlineStr">
        <is>
          <t>Furniture</t>
        </is>
      </c>
      <c r="E1231" s="25" t="inlineStr">
        <is>
          <t>Office Chair</t>
        </is>
      </c>
      <c r="F1231" s="25" t="n">
        <v>2</v>
      </c>
      <c r="G1231" s="25" t="n">
        <v>8500</v>
      </c>
      <c r="H1231" s="28" t="n">
        <v>0.2</v>
      </c>
      <c r="I1231" s="25" t="n">
        <v>5600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2026-09-28T14:37:04Z</dcterms:created>
  <dcterms:modified xsi:type="dcterms:W3CDTF">2026-09-28T14:37:05Z</dcterms:modified>
</cp:coreProperties>
</file>